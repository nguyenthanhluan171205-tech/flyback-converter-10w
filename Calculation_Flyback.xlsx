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VSE Lab\Flyback\Design Flyback\"/>
    </mc:Choice>
  </mc:AlternateContent>
  <xr:revisionPtr revIDLastSave="0" documentId="13_ncr:1_{32A11094-6885-452F-9D92-79406025D1A0}" xr6:coauthVersionLast="47" xr6:coauthVersionMax="47" xr10:uidLastSave="{00000000-0000-0000-0000-000000000000}"/>
  <bookViews>
    <workbookView xWindow="-108" yWindow="-108" windowWidth="23256" windowHeight="12456" xr2:uid="{42E9095F-56F7-4E54-A043-D3D404BDA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" i="1" l="1"/>
  <c r="AA23" i="1"/>
  <c r="AA24" i="1"/>
  <c r="M8" i="1"/>
  <c r="T6" i="1"/>
  <c r="F51" i="1"/>
  <c r="F59" i="1"/>
  <c r="F54" i="1"/>
  <c r="F52" i="1"/>
  <c r="F58" i="1" s="1"/>
  <c r="F60" i="1" s="1"/>
  <c r="M7" i="1" l="1"/>
  <c r="AA25" i="1"/>
  <c r="AA38" i="1" s="1"/>
  <c r="AA22" i="1"/>
  <c r="AA35" i="1" l="1"/>
  <c r="AH77" i="1"/>
  <c r="AH78" i="1"/>
  <c r="AH76" i="1"/>
  <c r="AH74" i="1"/>
  <c r="AH68" i="1"/>
  <c r="AH66" i="1"/>
  <c r="AH67" i="1" s="1"/>
  <c r="AH64" i="1"/>
  <c r="AH58" i="1"/>
  <c r="AH56" i="1"/>
  <c r="AH57" i="1" s="1"/>
  <c r="AH54" i="1"/>
  <c r="AH47" i="1"/>
  <c r="AH46" i="1"/>
  <c r="AH35" i="1"/>
  <c r="AH36" i="1" s="1"/>
  <c r="AH48" i="1"/>
  <c r="AH44" i="1"/>
  <c r="T69" i="1"/>
  <c r="AH37" i="1"/>
  <c r="AH33" i="1"/>
  <c r="T66" i="1"/>
  <c r="T62" i="1"/>
  <c r="T58" i="1"/>
  <c r="T54" i="1"/>
  <c r="T50" i="1"/>
  <c r="T37" i="1"/>
  <c r="AH38" i="1" l="1"/>
  <c r="AH40" i="1" s="1"/>
  <c r="AH69" i="1"/>
  <c r="AH79" i="1"/>
  <c r="AH71" i="1"/>
  <c r="AH59" i="1"/>
  <c r="AH49" i="1"/>
  <c r="AH51" i="1" s="1"/>
  <c r="AH81" i="1" l="1"/>
  <c r="AH61" i="1"/>
  <c r="F37" i="1"/>
  <c r="F39" i="1" s="1"/>
  <c r="M9" i="1" s="1"/>
  <c r="F34" i="1"/>
  <c r="F32" i="1"/>
  <c r="F28" i="1"/>
  <c r="F26" i="1"/>
  <c r="F22" i="1"/>
  <c r="F20" i="1"/>
  <c r="F16" i="1"/>
  <c r="F14" i="1"/>
  <c r="T14" i="1" s="1"/>
  <c r="T9" i="1" l="1"/>
  <c r="AH9" i="1"/>
  <c r="T29" i="1"/>
  <c r="T30" i="1" s="1"/>
  <c r="T67" i="1" s="1"/>
  <c r="M25" i="1"/>
  <c r="M26" i="1" s="1"/>
  <c r="T24" i="1"/>
  <c r="T25" i="1" s="1"/>
  <c r="T15" i="1"/>
  <c r="T55" i="1" s="1"/>
  <c r="T56" i="1" s="1"/>
  <c r="T19" i="1"/>
  <c r="T20" i="1" s="1"/>
  <c r="S45" i="1"/>
  <c r="M17" i="1"/>
  <c r="M18" i="1" s="1"/>
  <c r="M21" i="1"/>
  <c r="M22" i="1" s="1"/>
  <c r="T22" i="1"/>
  <c r="T23" i="1" s="1"/>
  <c r="M24" i="1" s="1"/>
  <c r="T27" i="1"/>
  <c r="T28" i="1" s="1"/>
  <c r="M28" i="1" s="1"/>
  <c r="T17" i="1"/>
  <c r="T18" i="1" s="1"/>
  <c r="M20" i="1" s="1"/>
  <c r="M29" i="1"/>
  <c r="M30" i="1" s="1"/>
  <c r="AA47" i="1"/>
  <c r="T12" i="1"/>
  <c r="T13" i="1" s="1"/>
  <c r="M16" i="1" s="1"/>
  <c r="AA44" i="1"/>
  <c r="S46" i="1" l="1"/>
  <c r="AH89" i="1"/>
  <c r="T41" i="1"/>
  <c r="AH62" i="1"/>
  <c r="T59" i="1"/>
  <c r="T60" i="1" s="1"/>
  <c r="AH18" i="1"/>
  <c r="AH20" i="1" s="1"/>
  <c r="T63" i="1"/>
  <c r="T64" i="1" s="1"/>
  <c r="AH72" i="1"/>
  <c r="AH22" i="1"/>
  <c r="AH24" i="1" s="1"/>
  <c r="AH26" i="1"/>
  <c r="AH28" i="1" s="1"/>
  <c r="AH82" i="1"/>
  <c r="T68" i="1"/>
  <c r="AH14" i="1"/>
  <c r="AH16" i="1" s="1"/>
  <c r="AH52" i="1"/>
  <c r="T40" i="1"/>
  <c r="M10" i="1"/>
  <c r="AH29" i="1" l="1"/>
  <c r="AH93" i="1" s="1"/>
  <c r="T8" i="1"/>
  <c r="M11" i="1"/>
  <c r="T7" i="1" l="1"/>
  <c r="T51" i="1" s="1"/>
  <c r="AH8" i="1"/>
  <c r="AH10" i="1" s="1"/>
  <c r="AH92" i="1" s="1"/>
  <c r="AA29" i="1"/>
  <c r="AA39" i="1"/>
  <c r="AH95" i="1" s="1"/>
  <c r="AA36" i="1" l="1"/>
  <c r="AA26" i="1"/>
  <c r="T52" i="1"/>
  <c r="T35" i="1"/>
  <c r="T38" i="1" s="1"/>
  <c r="AH41" i="1"/>
  <c r="AH83" i="1" s="1"/>
  <c r="AH94" i="1" s="1"/>
  <c r="AH96" i="1" s="1"/>
  <c r="AK91" i="1" l="1"/>
</calcChain>
</file>

<file path=xl/sharedStrings.xml><?xml version="1.0" encoding="utf-8"?>
<sst xmlns="http://schemas.openxmlformats.org/spreadsheetml/2006/main" count="729" uniqueCount="350">
  <si>
    <t>Flyback Design</t>
  </si>
  <si>
    <t>Input parameter</t>
  </si>
  <si>
    <t>Vin(min)</t>
  </si>
  <si>
    <t>Vin(max)</t>
  </si>
  <si>
    <t xml:space="preserve"> Minimum input voltage </t>
  </si>
  <si>
    <t xml:space="preserve"> Maximum input voltage </t>
  </si>
  <si>
    <t>VDC</t>
  </si>
  <si>
    <t>frequency</t>
  </si>
  <si>
    <t>kHz</t>
  </si>
  <si>
    <t>Ripple</t>
  </si>
  <si>
    <t>fsw</t>
  </si>
  <si>
    <t>Output 1</t>
  </si>
  <si>
    <t>Output parameter</t>
  </si>
  <si>
    <t>Output power 1</t>
  </si>
  <si>
    <t>Output voltage 1</t>
  </si>
  <si>
    <t>Output current 1</t>
  </si>
  <si>
    <t>Resistance</t>
  </si>
  <si>
    <t>Po,1</t>
  </si>
  <si>
    <t>V</t>
  </si>
  <si>
    <t>Vo,1</t>
  </si>
  <si>
    <t>Io,1</t>
  </si>
  <si>
    <t>DeltaVo</t>
  </si>
  <si>
    <t>W</t>
  </si>
  <si>
    <t>A</t>
  </si>
  <si>
    <t>R1</t>
  </si>
  <si>
    <t>Ohm</t>
  </si>
  <si>
    <t>Output 2</t>
  </si>
  <si>
    <t>Output 3</t>
  </si>
  <si>
    <t>Output 4</t>
  </si>
  <si>
    <t>Output power 2</t>
  </si>
  <si>
    <t>Output voltage 2</t>
  </si>
  <si>
    <t>Output current 2</t>
  </si>
  <si>
    <t>Design specification</t>
  </si>
  <si>
    <t xml:space="preserve"> Maximum total output power </t>
  </si>
  <si>
    <t>Po</t>
  </si>
  <si>
    <t>Efficiency</t>
  </si>
  <si>
    <t>n</t>
  </si>
  <si>
    <t>%</t>
  </si>
  <si>
    <t xml:space="preserve">Maximum total input power </t>
  </si>
  <si>
    <t>Pin</t>
  </si>
  <si>
    <t>Calculation Parameters at</t>
  </si>
  <si>
    <t xml:space="preserve">Mosfet </t>
  </si>
  <si>
    <t>STP2N80k5</t>
  </si>
  <si>
    <t xml:space="preserve">Breakdown Voltage </t>
  </si>
  <si>
    <t>Vspike</t>
  </si>
  <si>
    <t xml:space="preserve">65% breakdown voltage </t>
  </si>
  <si>
    <t>D3</t>
  </si>
  <si>
    <t>Vbv</t>
  </si>
  <si>
    <t>65%Vbv</t>
  </si>
  <si>
    <t>Duty cycle max</t>
  </si>
  <si>
    <t>Idle duty</t>
  </si>
  <si>
    <t>Dmax</t>
  </si>
  <si>
    <t>Transfomer Calculation</t>
  </si>
  <si>
    <t>Magnetizing inductance</t>
  </si>
  <si>
    <t>Lm</t>
  </si>
  <si>
    <t>mH</t>
  </si>
  <si>
    <t>Primary Calculation</t>
  </si>
  <si>
    <t>Peak current</t>
  </si>
  <si>
    <t>Ipk</t>
  </si>
  <si>
    <t>Rms current</t>
  </si>
  <si>
    <t>Irms</t>
  </si>
  <si>
    <t>Mosfet powet loss</t>
  </si>
  <si>
    <t>Conduction loss</t>
  </si>
  <si>
    <t>Pcond</t>
  </si>
  <si>
    <t>Switching loss</t>
  </si>
  <si>
    <t>Psw</t>
  </si>
  <si>
    <t>Rise time</t>
  </si>
  <si>
    <t>Fall time</t>
  </si>
  <si>
    <t>On resistance</t>
  </si>
  <si>
    <t>T_r</t>
  </si>
  <si>
    <t>T_f</t>
  </si>
  <si>
    <t>Ron</t>
  </si>
  <si>
    <t>ns</t>
  </si>
  <si>
    <t>ohm</t>
  </si>
  <si>
    <t>Average current</t>
  </si>
  <si>
    <t>Iavg</t>
  </si>
  <si>
    <t>Total loss</t>
  </si>
  <si>
    <t>Output 1(master)</t>
  </si>
  <si>
    <t>Turn ratio</t>
  </si>
  <si>
    <t xml:space="preserve">Secondary conduction duty </t>
  </si>
  <si>
    <t>D2</t>
  </si>
  <si>
    <t>Output 2(slave)</t>
  </si>
  <si>
    <t>Output 3(slave)</t>
  </si>
  <si>
    <t>Output 4(slave)</t>
  </si>
  <si>
    <t>P,loss,FET</t>
  </si>
  <si>
    <t>Peak current 1</t>
  </si>
  <si>
    <t>Ipk,1</t>
  </si>
  <si>
    <t>Isec,rms 1</t>
  </si>
  <si>
    <t>Irms 1</t>
  </si>
  <si>
    <t>Peak current 2</t>
  </si>
  <si>
    <t>Isec,rms 2</t>
  </si>
  <si>
    <t>Ipk,2</t>
  </si>
  <si>
    <t>Irms 2</t>
  </si>
  <si>
    <t>Peak current 3</t>
  </si>
  <si>
    <t>Isec,rms 3</t>
  </si>
  <si>
    <t>Peak current 4</t>
  </si>
  <si>
    <t>Isec,rms 4</t>
  </si>
  <si>
    <t>Ipk,3</t>
  </si>
  <si>
    <t>Irms 3</t>
  </si>
  <si>
    <t>Ipk,4</t>
  </si>
  <si>
    <t>Irms 4</t>
  </si>
  <si>
    <t>Window utilization factor</t>
  </si>
  <si>
    <t>Ku</t>
  </si>
  <si>
    <t>Current Density</t>
  </si>
  <si>
    <t>J</t>
  </si>
  <si>
    <t>A/cm^2</t>
  </si>
  <si>
    <t>rms current</t>
  </si>
  <si>
    <t>Ipri,rms</t>
  </si>
  <si>
    <t>Ipk,pri</t>
  </si>
  <si>
    <t>Ipri,avg</t>
  </si>
  <si>
    <t>Secondary Calculation</t>
  </si>
  <si>
    <t>Flux density choose</t>
  </si>
  <si>
    <t>Bsat</t>
  </si>
  <si>
    <t>T</t>
  </si>
  <si>
    <t>cm^4</t>
  </si>
  <si>
    <t>Specification of N87</t>
  </si>
  <si>
    <t>Base material</t>
  </si>
  <si>
    <t>MnZn</t>
  </si>
  <si>
    <t>Initial permeability(25oC)</t>
  </si>
  <si>
    <t>u</t>
  </si>
  <si>
    <t>Bs</t>
  </si>
  <si>
    <t>Flux density (25oC)</t>
  </si>
  <si>
    <t>mT</t>
  </si>
  <si>
    <t>Flux density (100oC)</t>
  </si>
  <si>
    <t>Specification of PQ2016 Core</t>
  </si>
  <si>
    <t>Mean Path Length</t>
  </si>
  <si>
    <t>le</t>
  </si>
  <si>
    <t>Cross section area</t>
  </si>
  <si>
    <t>Ae</t>
  </si>
  <si>
    <t>Core volume</t>
  </si>
  <si>
    <t>Ve</t>
  </si>
  <si>
    <t>Inductance coefficient</t>
  </si>
  <si>
    <t>A_L</t>
  </si>
  <si>
    <t>nH</t>
  </si>
  <si>
    <t>Mean Length Turn</t>
  </si>
  <si>
    <t>MLT</t>
  </si>
  <si>
    <t>mm</t>
  </si>
  <si>
    <t>Ap,cal</t>
  </si>
  <si>
    <t>Area product calculate</t>
  </si>
  <si>
    <t>cm^2</t>
  </si>
  <si>
    <t>cm2</t>
  </si>
  <si>
    <t>cm3</t>
  </si>
  <si>
    <t xml:space="preserve">Window area </t>
  </si>
  <si>
    <t>Aw</t>
  </si>
  <si>
    <t>Area product of PQ2016</t>
  </si>
  <si>
    <t>Ap,sel</t>
  </si>
  <si>
    <t>Ap,sel/Ap,cal</t>
  </si>
  <si>
    <t>Minimum primary winding</t>
  </si>
  <si>
    <t>Np,min</t>
  </si>
  <si>
    <t>Over current protection</t>
  </si>
  <si>
    <t>Iover</t>
  </si>
  <si>
    <t>turn</t>
  </si>
  <si>
    <t>Choose Transfomer</t>
  </si>
  <si>
    <t>Option 1</t>
  </si>
  <si>
    <t>Np</t>
  </si>
  <si>
    <t>Ns,1</t>
  </si>
  <si>
    <t>Ns,2</t>
  </si>
  <si>
    <t>Ns,3</t>
  </si>
  <si>
    <t>Option 2</t>
  </si>
  <si>
    <t>Power loss</t>
  </si>
  <si>
    <t>Diode selection</t>
  </si>
  <si>
    <t>Reverse bias Voltage</t>
  </si>
  <si>
    <t>Vrv,1</t>
  </si>
  <si>
    <t>Vrv,2</t>
  </si>
  <si>
    <t>Vrv,3</t>
  </si>
  <si>
    <t>Vrv,4</t>
  </si>
  <si>
    <t xml:space="preserve">Diode selection </t>
  </si>
  <si>
    <t>STPS2200U</t>
  </si>
  <si>
    <t>Repetitive peak reverse voltage</t>
  </si>
  <si>
    <t>Vrrm</t>
  </si>
  <si>
    <t>Forward rms current</t>
  </si>
  <si>
    <t>IF(rms)</t>
  </si>
  <si>
    <t>IF(av)</t>
  </si>
  <si>
    <t>Average forward current (D=0.5)</t>
  </si>
  <si>
    <t>Storage temperature range</t>
  </si>
  <si>
    <t>Tstg</t>
  </si>
  <si>
    <t>oC</t>
  </si>
  <si>
    <t xml:space="preserve">Operating junction temperature </t>
  </si>
  <si>
    <t>Tj</t>
  </si>
  <si>
    <t>Junction to lead</t>
  </si>
  <si>
    <t>Rth(j-l)</t>
  </si>
  <si>
    <t>oC/W</t>
  </si>
  <si>
    <t>Forward voltage drop</t>
  </si>
  <si>
    <t>VF</t>
  </si>
  <si>
    <t>Choose wire transformer</t>
  </si>
  <si>
    <t xml:space="preserve">Primary </t>
  </si>
  <si>
    <t>Awp</t>
  </si>
  <si>
    <t xml:space="preserve">mm^2 </t>
  </si>
  <si>
    <t>Bare wire area primary</t>
  </si>
  <si>
    <t>Wire diameter primary</t>
  </si>
  <si>
    <t>dpri</t>
  </si>
  <si>
    <t>Bare wire area sec 1</t>
  </si>
  <si>
    <t>Wire diameter sec 1</t>
  </si>
  <si>
    <t>Aws,1</t>
  </si>
  <si>
    <t>dsec,1</t>
  </si>
  <si>
    <t>Output  3(slave)</t>
  </si>
  <si>
    <t>Bare wire area sec 2</t>
  </si>
  <si>
    <t>Wire diameter sec 2</t>
  </si>
  <si>
    <t>Bare wire area sec 3</t>
  </si>
  <si>
    <t>Wire diameter sec 3</t>
  </si>
  <si>
    <t>Aws,2</t>
  </si>
  <si>
    <t>dsec,2</t>
  </si>
  <si>
    <t>Aws,3</t>
  </si>
  <si>
    <t>dsec,3</t>
  </si>
  <si>
    <t>Aws,4</t>
  </si>
  <si>
    <t>dsec,4</t>
  </si>
  <si>
    <t>Diode power loss</t>
  </si>
  <si>
    <t>P,loss,D1</t>
  </si>
  <si>
    <t>Total diode loss</t>
  </si>
  <si>
    <t>P,loss,D</t>
  </si>
  <si>
    <t>P,loss,D2</t>
  </si>
  <si>
    <t>P,loss,D3</t>
  </si>
  <si>
    <t>P,loss,D4</t>
  </si>
  <si>
    <t>Core selection</t>
  </si>
  <si>
    <t>Switches selection</t>
  </si>
  <si>
    <t>Resistivity</t>
  </si>
  <si>
    <t>p</t>
  </si>
  <si>
    <t>ohm.m</t>
  </si>
  <si>
    <t>Wire diameter primary selec</t>
  </si>
  <si>
    <t xml:space="preserve">Wire length </t>
  </si>
  <si>
    <t>l</t>
  </si>
  <si>
    <t>m</t>
  </si>
  <si>
    <t>Bare wire area</t>
  </si>
  <si>
    <t>Awire</t>
  </si>
  <si>
    <t>m^2</t>
  </si>
  <si>
    <t>DC resistance</t>
  </si>
  <si>
    <t>Rdc</t>
  </si>
  <si>
    <t>Fr</t>
  </si>
  <si>
    <t>Skin depth</t>
  </si>
  <si>
    <t>AC resistance</t>
  </si>
  <si>
    <t>Rac</t>
  </si>
  <si>
    <t>Copper total loss</t>
  </si>
  <si>
    <t>Pcu</t>
  </si>
  <si>
    <t>Wire diameter sec 1 selec</t>
  </si>
  <si>
    <t>Wire diameter sec 2 selec</t>
  </si>
  <si>
    <t>Wire diameter sec 3 selec</t>
  </si>
  <si>
    <t>Wire diameter sec 4 selec</t>
  </si>
  <si>
    <t>Copper transformer loss</t>
  </si>
  <si>
    <t>Pcu,total</t>
  </si>
  <si>
    <t>Transformer winding power loss</t>
  </si>
  <si>
    <t>Transformer core power loss</t>
  </si>
  <si>
    <t>Kc</t>
  </si>
  <si>
    <t>alpha</t>
  </si>
  <si>
    <t>Beta</t>
  </si>
  <si>
    <t>Iron loss</t>
  </si>
  <si>
    <t>Pfe</t>
  </si>
  <si>
    <t>a</t>
  </si>
  <si>
    <t>b</t>
  </si>
  <si>
    <t>Net weight</t>
  </si>
  <si>
    <t>g</t>
  </si>
  <si>
    <t xml:space="preserve">Flux density </t>
  </si>
  <si>
    <t>Np=27</t>
  </si>
  <si>
    <t>P,trans</t>
  </si>
  <si>
    <t>Conclusion</t>
  </si>
  <si>
    <t>Fet loss</t>
  </si>
  <si>
    <t>Diode loss</t>
  </si>
  <si>
    <t>Transformer loss</t>
  </si>
  <si>
    <t>Pfet</t>
  </si>
  <si>
    <t>Design RCD snubber</t>
  </si>
  <si>
    <t>Leakage inductance</t>
  </si>
  <si>
    <t>Lk</t>
  </si>
  <si>
    <t>snubber voltage</t>
  </si>
  <si>
    <t>Vsn</t>
  </si>
  <si>
    <t>Clamp voltage</t>
  </si>
  <si>
    <t>Vpk,clamp</t>
  </si>
  <si>
    <t xml:space="preserve">Power dissipation </t>
  </si>
  <si>
    <t>Psn</t>
  </si>
  <si>
    <t>Snubber resistor</t>
  </si>
  <si>
    <t>Rsn</t>
  </si>
  <si>
    <t>DeltaV</t>
  </si>
  <si>
    <t>Voltage ripple</t>
  </si>
  <si>
    <t>Capacitance</t>
  </si>
  <si>
    <t>Csn</t>
  </si>
  <si>
    <t>F</t>
  </si>
  <si>
    <t>Diode</t>
  </si>
  <si>
    <t>Peak Reverse Voltage</t>
  </si>
  <si>
    <t>Vpk</t>
  </si>
  <si>
    <t>Peak Current</t>
  </si>
  <si>
    <t>UFM16PL-TP</t>
  </si>
  <si>
    <t>Maximum peak reverse voltage</t>
  </si>
  <si>
    <t>Vpk,D</t>
  </si>
  <si>
    <t>Average forward current</t>
  </si>
  <si>
    <t>IF</t>
  </si>
  <si>
    <t>Maximum temperature</t>
  </si>
  <si>
    <t>Tmax</t>
  </si>
  <si>
    <t>Reverse recovery time</t>
  </si>
  <si>
    <t>Trr</t>
  </si>
  <si>
    <t>Capacitor</t>
  </si>
  <si>
    <t>maximum voltage</t>
  </si>
  <si>
    <t>Vmax,C</t>
  </si>
  <si>
    <t>Resistor</t>
  </si>
  <si>
    <t>RCD snubber loss</t>
  </si>
  <si>
    <t>P,rcd</t>
  </si>
  <si>
    <t>efficiency</t>
  </si>
  <si>
    <t>Air gap</t>
  </si>
  <si>
    <t>2lg</t>
  </si>
  <si>
    <t>cm</t>
  </si>
  <si>
    <t>Output capacitor</t>
  </si>
  <si>
    <t>minimum capacitance</t>
  </si>
  <si>
    <t>Cmin,1</t>
  </si>
  <si>
    <t>Cmin,2</t>
  </si>
  <si>
    <t xml:space="preserve">Design Controller </t>
  </si>
  <si>
    <t>Gvi</t>
  </si>
  <si>
    <t>Phase Margin</t>
  </si>
  <si>
    <t>PM</t>
  </si>
  <si>
    <t>Crossover frequency</t>
  </si>
  <si>
    <t>fc</t>
  </si>
  <si>
    <t>Hz</t>
  </si>
  <si>
    <t>deg</t>
  </si>
  <si>
    <t>TL431BQDBZT</t>
  </si>
  <si>
    <t xml:space="preserve">Voltage-output </t>
  </si>
  <si>
    <t>Vref</t>
  </si>
  <si>
    <t>Vmax</t>
  </si>
  <si>
    <t>Minimum cathode current</t>
  </si>
  <si>
    <t>Imin</t>
  </si>
  <si>
    <t>mA</t>
  </si>
  <si>
    <t>Voltage cathode</t>
  </si>
  <si>
    <t>VKA</t>
  </si>
  <si>
    <t>2.5-36</t>
  </si>
  <si>
    <t>Reference input current</t>
  </si>
  <si>
    <t>Iref</t>
  </si>
  <si>
    <t>uA</t>
  </si>
  <si>
    <t>PC817X2NSZ0F</t>
  </si>
  <si>
    <t xml:space="preserve">Minimum forward current </t>
  </si>
  <si>
    <t>Forward voltage on Diode</t>
  </si>
  <si>
    <t xml:space="preserve">V </t>
  </si>
  <si>
    <t>Collector-emitter voltage</t>
  </si>
  <si>
    <t>VCEO</t>
  </si>
  <si>
    <t xml:space="preserve">Phase Margin New </t>
  </si>
  <si>
    <t>Crossover frequency new</t>
  </si>
  <si>
    <t>Pmnew</t>
  </si>
  <si>
    <t>fcnew</t>
  </si>
  <si>
    <t xml:space="preserve">Controller: Type II </t>
  </si>
  <si>
    <t>theta Lead</t>
  </si>
  <si>
    <t>zero frequency</t>
  </si>
  <si>
    <t>fz</t>
  </si>
  <si>
    <t>pole frequency</t>
  </si>
  <si>
    <t>fp</t>
  </si>
  <si>
    <t>C1</t>
  </si>
  <si>
    <t>Rup</t>
  </si>
  <si>
    <t>Rdown</t>
  </si>
  <si>
    <t>kOhm</t>
  </si>
  <si>
    <t>C2</t>
  </si>
  <si>
    <t>RDYN</t>
  </si>
  <si>
    <t>Rled</t>
  </si>
  <si>
    <t>CTR min</t>
  </si>
  <si>
    <t>CTR max</t>
  </si>
  <si>
    <t>Rled và Gc0 được tính ở Matlab</t>
  </si>
  <si>
    <t>Gc0</t>
  </si>
  <si>
    <t>Np=53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</si>
</sst>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3" borderId="10" xfId="0" applyFill="1" applyBorder="1"/>
    <xf numFmtId="0" fontId="0" fillId="3" borderId="11" xfId="0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0" fillId="4" borderId="0" xfId="0" applyFill="1"/>
    <xf numFmtId="0" fontId="0" fillId="4" borderId="5" xfId="0" applyFill="1" applyBorder="1"/>
    <xf numFmtId="0" fontId="0" fillId="0" borderId="4" xfId="0" applyBorder="1"/>
    <xf numFmtId="0" fontId="0" fillId="0" borderId="6" xfId="0" applyBorder="1"/>
    <xf numFmtId="0" fontId="0" fillId="5" borderId="10" xfId="0" applyFill="1" applyBorder="1"/>
    <xf numFmtId="0" fontId="0" fillId="5" borderId="11" xfId="0" applyFill="1" applyBorder="1"/>
    <xf numFmtId="0" fontId="0" fillId="4" borderId="10" xfId="0" applyFill="1" applyBorder="1"/>
    <xf numFmtId="0" fontId="0" fillId="4" borderId="11" xfId="0" applyFill="1" applyBorder="1"/>
    <xf numFmtId="0" fontId="1" fillId="4" borderId="9" xfId="0" applyFont="1" applyFill="1" applyBorder="1"/>
    <xf numFmtId="0" fontId="2" fillId="0" borderId="0" xfId="0" applyFont="1"/>
    <xf numFmtId="0" fontId="0" fillId="4" borderId="2" xfId="0" applyFill="1" applyBorder="1"/>
    <xf numFmtId="0" fontId="0" fillId="4" borderId="3" xfId="0" applyFill="1" applyBorder="1"/>
    <xf numFmtId="0" fontId="3" fillId="0" borderId="0" xfId="0" applyFont="1"/>
    <xf numFmtId="0" fontId="2" fillId="0" borderId="7" xfId="0" applyFont="1" applyBorder="1"/>
    <xf numFmtId="0" fontId="3" fillId="0" borderId="7" xfId="0" applyFont="1" applyBorder="1"/>
    <xf numFmtId="0" fontId="3" fillId="0" borderId="10" xfId="0" applyFont="1" applyBorder="1"/>
    <xf numFmtId="0" fontId="1" fillId="3" borderId="9" xfId="0" applyFont="1" applyFill="1" applyBorder="1"/>
    <xf numFmtId="0" fontId="1" fillId="4" borderId="1" xfId="0" applyFont="1" applyFill="1" applyBorder="1"/>
    <xf numFmtId="0" fontId="1" fillId="4" borderId="4" xfId="0" applyFont="1" applyFill="1" applyBorder="1"/>
    <xf numFmtId="0" fontId="1" fillId="3" borderId="0" xfId="0" applyFont="1" applyFill="1"/>
    <xf numFmtId="0" fontId="0" fillId="0" borderId="1" xfId="0" applyBorder="1"/>
    <xf numFmtId="0" fontId="1" fillId="0" borderId="10" xfId="0" applyFont="1" applyBorder="1"/>
    <xf numFmtId="0" fontId="1" fillId="0" borderId="11" xfId="0" applyFont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1" fillId="3" borderId="2" xfId="0" applyFont="1" applyFill="1" applyBorder="1"/>
    <xf numFmtId="2" fontId="2" fillId="0" borderId="0" xfId="0" applyNumberFormat="1" applyFont="1"/>
    <xf numFmtId="0" fontId="0" fillId="5" borderId="0" xfId="0" applyFill="1"/>
    <xf numFmtId="0" fontId="1" fillId="5" borderId="9" xfId="0" applyFont="1" applyFill="1" applyBorder="1"/>
    <xf numFmtId="0" fontId="4" fillId="0" borderId="0" xfId="0" applyFont="1"/>
    <xf numFmtId="0" fontId="0" fillId="3" borderId="0" xfId="0" applyFill="1"/>
    <xf numFmtId="0" fontId="1" fillId="3" borderId="9" xfId="0" applyFont="1" applyFill="1" applyBorder="1" applyAlignment="1">
      <alignment horizontal="left"/>
    </xf>
    <xf numFmtId="0" fontId="1" fillId="5" borderId="4" xfId="0" applyFont="1" applyFill="1" applyBorder="1"/>
    <xf numFmtId="0" fontId="1" fillId="5" borderId="0" xfId="0" applyFont="1" applyFill="1"/>
    <xf numFmtId="0" fontId="3" fillId="0" borderId="5" xfId="0" applyFont="1" applyBorder="1"/>
    <xf numFmtId="0" fontId="1" fillId="0" borderId="9" xfId="0" applyFont="1" applyBorder="1"/>
    <xf numFmtId="0" fontId="5" fillId="0" borderId="10" xfId="0" applyFont="1" applyBorder="1"/>
    <xf numFmtId="0" fontId="0" fillId="0" borderId="9" xfId="0" applyBorder="1"/>
    <xf numFmtId="0" fontId="6" fillId="0" borderId="0" xfId="0" applyFont="1"/>
    <xf numFmtId="0" fontId="7" fillId="4" borderId="1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8" fillId="5" borderId="10" xfId="0" applyFont="1" applyFill="1" applyBorder="1"/>
    <xf numFmtId="0" fontId="1" fillId="3" borderId="4" xfId="0" applyFont="1" applyFill="1" applyBorder="1"/>
    <xf numFmtId="0" fontId="3" fillId="0" borderId="2" xfId="0" applyFont="1" applyBorder="1"/>
    <xf numFmtId="0" fontId="1" fillId="7" borderId="1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1" fillId="6" borderId="9" xfId="0" applyFont="1" applyFill="1" applyBorder="1"/>
    <xf numFmtId="0" fontId="0" fillId="6" borderId="10" xfId="0" applyFill="1" applyBorder="1"/>
    <xf numFmtId="0" fontId="0" fillId="6" borderId="11" xfId="0" applyFill="1" applyBorder="1"/>
    <xf numFmtId="0" fontId="1" fillId="6" borderId="10" xfId="0" applyFont="1" applyFill="1" applyBorder="1"/>
    <xf numFmtId="0" fontId="1" fillId="6" borderId="11" xfId="0" applyFont="1" applyFill="1" applyBorder="1"/>
    <xf numFmtId="11" fontId="0" fillId="0" borderId="0" xfId="0" applyNumberFormat="1"/>
    <xf numFmtId="11" fontId="0" fillId="0" borderId="7" xfId="0" applyNumberFormat="1" applyBorder="1"/>
    <xf numFmtId="0" fontId="0" fillId="0" borderId="4" xfId="0" applyBorder="1"/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5" borderId="9" xfId="0" applyFont="1" applyFill="1" applyBorder="1" applyAlignment="1">
      <alignment horizontal="left"/>
    </xf>
    <xf numFmtId="0" fontId="1" fillId="5" borderId="1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</a:t>
            </a:r>
            <a:r>
              <a:rPr lang="en-US" baseline="0"/>
              <a:t> of power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18-47CF-9407-5799CC5F53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18-47CF-9407-5799CC5F53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18-47CF-9407-5799CC5F53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18-47CF-9407-5799CC5F534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Sheet1!$AG$92:$AG$95</c:f>
              <c:strCache>
                <c:ptCount val="4"/>
                <c:pt idx="0">
                  <c:v>Pfet</c:v>
                </c:pt>
                <c:pt idx="1">
                  <c:v>P,loss,D</c:v>
                </c:pt>
                <c:pt idx="2">
                  <c:v>P,trans</c:v>
                </c:pt>
                <c:pt idx="3">
                  <c:v>P,rcd</c:v>
                </c:pt>
              </c:strCache>
            </c:strRef>
          </c:cat>
          <c:val>
            <c:numRef>
              <c:f>Sheet1!$AH$92:$AH$95</c:f>
              <c:numCache>
                <c:formatCode>General</c:formatCode>
                <c:ptCount val="4"/>
                <c:pt idx="0">
                  <c:v>0.31067584325396824</c:v>
                </c:pt>
                <c:pt idx="1">
                  <c:v>0.39877083333333335</c:v>
                </c:pt>
                <c:pt idx="2">
                  <c:v>0.71422539726546996</c:v>
                </c:pt>
                <c:pt idx="3">
                  <c:v>0.77690418615362811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9B6-838E-9B18B24B5B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Sheet1!$AG$92:$AG$95</c:f>
              <c:strCache>
                <c:ptCount val="4"/>
                <c:pt idx="0">
                  <c:v>Pfet</c:v>
                </c:pt>
                <c:pt idx="1">
                  <c:v>P,loss,D</c:v>
                </c:pt>
                <c:pt idx="2">
                  <c:v>P,trans</c:v>
                </c:pt>
                <c:pt idx="3">
                  <c:v>P,rcd</c:v>
                </c:pt>
              </c:strCache>
            </c:strRef>
          </c:cat>
          <c:val>
            <c:numRef>
              <c:f>Sheet1!$AH$92:$AH$95</c:f>
              <c:numCache>
                <c:formatCode>General</c:formatCode>
                <c:ptCount val="4"/>
                <c:pt idx="0">
                  <c:v>0.31067584325396824</c:v>
                </c:pt>
                <c:pt idx="1">
                  <c:v>0.39877083333333335</c:v>
                </c:pt>
                <c:pt idx="2">
                  <c:v>0.71422539726546996</c:v>
                </c:pt>
                <c:pt idx="3">
                  <c:v>0.77690418615362811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0-48FF-8BA1-C9431FCF1A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803407984"/>
        <c:axId val="803408464"/>
      </c:barChart>
      <c:catAx>
        <c:axId val="80340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408464"/>
        <c:crosses val="autoZero"/>
        <c:auto val="1"/>
        <c:lblAlgn val="ctr"/>
        <c:lblOffset val="100"/>
        <c:noMultiLvlLbl val="0"/>
      </c:catAx>
      <c:valAx>
        <c:axId val="80340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40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373380</xdr:colOff>
      <xdr:row>3</xdr:row>
      <xdr:rowOff>49530</xdr:rowOff>
    </xdr:from>
    <xdr:to>
      <xdr:col>43</xdr:col>
      <xdr:colOff>68580</xdr:colOff>
      <xdr:row>18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483E6-42E4-D299-B1B8-5CB2F53D66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342900</xdr:colOff>
      <xdr:row>19</xdr:row>
      <xdr:rowOff>11430</xdr:rowOff>
    </xdr:from>
    <xdr:to>
      <xdr:col>43</xdr:col>
      <xdr:colOff>38100</xdr:colOff>
      <xdr:row>33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EECB2-A26D-D05D-BCDA-DFD8A776E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0B15-317E-4835-8581-36362BF22B1E}">
  <dimension ref="B2:AK96"/>
  <sheetViews>
    <sheetView tabSelected="1" workbookViewId="0">
      <selection activeCell="AA67" sqref="AA67"/>
    </sheetView>
  </sheetViews>
  <sheetFormatPr defaultRowHeight="14.4" x14ac:dyDescent="0.3"/>
  <cols>
    <col min="6" max="6" width="12.77734375" customWidth="1"/>
    <col min="13" max="13" width="11" bestFit="1" customWidth="1"/>
    <col min="27" max="27" width="10.33203125" customWidth="1"/>
    <col min="34" max="34" width="12" bestFit="1" customWidth="1"/>
  </cols>
  <sheetData>
    <row r="2" spans="2:35" x14ac:dyDescent="0.3">
      <c r="D2" s="88" t="s">
        <v>0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</row>
    <row r="3" spans="2:35" ht="18" x14ac:dyDescent="0.35">
      <c r="I3" t="s">
        <v>214</v>
      </c>
      <c r="W3" t="s">
        <v>213</v>
      </c>
      <c r="AD3" s="48" t="s">
        <v>159</v>
      </c>
    </row>
    <row r="4" spans="2:35" x14ac:dyDescent="0.3">
      <c r="B4" s="80" t="s">
        <v>1</v>
      </c>
      <c r="C4" s="81"/>
      <c r="D4" s="16"/>
      <c r="E4" s="16"/>
      <c r="F4" s="16"/>
      <c r="G4" s="17"/>
      <c r="I4" s="34" t="s">
        <v>40</v>
      </c>
      <c r="J4" s="12"/>
      <c r="K4" s="12"/>
      <c r="L4" s="12"/>
      <c r="M4" s="14">
        <v>80</v>
      </c>
      <c r="N4" s="15" t="s">
        <v>6</v>
      </c>
      <c r="P4" s="34" t="s">
        <v>52</v>
      </c>
      <c r="Q4" s="12"/>
      <c r="R4" s="12"/>
      <c r="S4" s="12"/>
      <c r="T4" s="12"/>
      <c r="U4" s="13"/>
      <c r="W4" s="41" t="s">
        <v>115</v>
      </c>
      <c r="X4" s="44"/>
      <c r="Y4" s="44"/>
      <c r="Z4" s="44"/>
      <c r="AA4" s="44"/>
      <c r="AB4" s="43"/>
      <c r="AD4" s="26" t="s">
        <v>61</v>
      </c>
      <c r="AE4" s="24"/>
      <c r="AF4" s="24"/>
      <c r="AG4" s="24"/>
      <c r="AH4" s="24"/>
      <c r="AI4" s="25"/>
    </row>
    <row r="5" spans="2:35" x14ac:dyDescent="0.3">
      <c r="B5" s="78" t="s">
        <v>4</v>
      </c>
      <c r="C5" s="79"/>
      <c r="D5" s="79"/>
      <c r="E5" t="s">
        <v>2</v>
      </c>
      <c r="F5" s="27">
        <v>80</v>
      </c>
      <c r="G5" s="5" t="s">
        <v>6</v>
      </c>
      <c r="I5" s="26" t="s">
        <v>41</v>
      </c>
      <c r="J5" s="24"/>
      <c r="K5" s="24"/>
      <c r="L5" s="81" t="s">
        <v>42</v>
      </c>
      <c r="M5" s="81"/>
      <c r="N5" s="25"/>
      <c r="P5" s="26" t="s">
        <v>56</v>
      </c>
      <c r="Q5" s="24"/>
      <c r="R5" s="24"/>
      <c r="S5" s="24"/>
      <c r="T5" s="24"/>
      <c r="U5" s="25"/>
      <c r="W5" s="20" t="s">
        <v>116</v>
      </c>
      <c r="AA5" t="s">
        <v>117</v>
      </c>
      <c r="AB5" s="5"/>
      <c r="AD5" s="86" t="s">
        <v>66</v>
      </c>
      <c r="AE5" s="87"/>
      <c r="AF5" s="87"/>
      <c r="AG5" s="1" t="s">
        <v>69</v>
      </c>
      <c r="AH5" s="1">
        <v>12</v>
      </c>
      <c r="AI5" s="2" t="s">
        <v>72</v>
      </c>
    </row>
    <row r="6" spans="2:35" x14ac:dyDescent="0.3">
      <c r="B6" s="78" t="s">
        <v>5</v>
      </c>
      <c r="C6" s="79"/>
      <c r="D6" s="79"/>
      <c r="E6" t="s">
        <v>3</v>
      </c>
      <c r="F6" s="27">
        <v>450</v>
      </c>
      <c r="G6" s="5" t="s">
        <v>6</v>
      </c>
      <c r="I6" s="86" t="s">
        <v>43</v>
      </c>
      <c r="J6" s="87"/>
      <c r="K6" s="87"/>
      <c r="L6" t="s">
        <v>47</v>
      </c>
      <c r="M6">
        <v>800</v>
      </c>
      <c r="N6" s="5" t="s">
        <v>44</v>
      </c>
      <c r="P6" s="84" t="s">
        <v>53</v>
      </c>
      <c r="Q6" s="85"/>
      <c r="R6" s="85"/>
      <c r="S6" s="10" t="s">
        <v>54</v>
      </c>
      <c r="T6" s="33">
        <f>((F5*M8)^2*F38/100)/(2*F37*F8)</f>
        <v>0.53127529411764707</v>
      </c>
      <c r="U6" s="11" t="s">
        <v>55</v>
      </c>
      <c r="W6" s="20" t="s">
        <v>118</v>
      </c>
      <c r="Z6" t="s">
        <v>119</v>
      </c>
      <c r="AA6">
        <v>2200</v>
      </c>
      <c r="AB6" s="5"/>
      <c r="AD6" s="78" t="s">
        <v>67</v>
      </c>
      <c r="AE6" s="79"/>
      <c r="AF6" s="79"/>
      <c r="AG6" t="s">
        <v>70</v>
      </c>
      <c r="AH6">
        <v>32</v>
      </c>
      <c r="AI6" s="5" t="s">
        <v>72</v>
      </c>
    </row>
    <row r="7" spans="2:35" x14ac:dyDescent="0.3">
      <c r="B7" s="78" t="s">
        <v>9</v>
      </c>
      <c r="C7" s="79"/>
      <c r="D7" s="79"/>
      <c r="F7" s="27">
        <v>20</v>
      </c>
      <c r="G7" s="5" t="s">
        <v>6</v>
      </c>
      <c r="I7" s="3" t="s">
        <v>45</v>
      </c>
      <c r="J7" s="4"/>
      <c r="K7" s="4"/>
      <c r="L7" t="s">
        <v>48</v>
      </c>
      <c r="M7">
        <f>65/100*M6</f>
        <v>520</v>
      </c>
      <c r="N7" s="5" t="s">
        <v>6</v>
      </c>
      <c r="P7" s="38" t="s">
        <v>106</v>
      </c>
      <c r="Q7" s="1"/>
      <c r="R7" s="1"/>
      <c r="S7" s="1" t="s">
        <v>107</v>
      </c>
      <c r="T7" s="1">
        <f>M11</f>
        <v>0.23663755794329239</v>
      </c>
      <c r="U7" s="2" t="s">
        <v>23</v>
      </c>
      <c r="W7" s="20" t="s">
        <v>121</v>
      </c>
      <c r="Z7" t="s">
        <v>120</v>
      </c>
      <c r="AA7">
        <v>490</v>
      </c>
      <c r="AB7" s="5" t="s">
        <v>122</v>
      </c>
      <c r="AD7" s="78" t="s">
        <v>68</v>
      </c>
      <c r="AE7" s="79"/>
      <c r="AF7" s="79"/>
      <c r="AG7" t="s">
        <v>71</v>
      </c>
      <c r="AH7">
        <v>3.2</v>
      </c>
      <c r="AI7" s="5" t="s">
        <v>73</v>
      </c>
    </row>
    <row r="8" spans="2:35" x14ac:dyDescent="0.3">
      <c r="B8" s="82" t="s">
        <v>7</v>
      </c>
      <c r="C8" s="83"/>
      <c r="D8" s="83"/>
      <c r="E8" s="8" t="s">
        <v>10</v>
      </c>
      <c r="F8" s="31">
        <v>100</v>
      </c>
      <c r="G8" s="9" t="s">
        <v>8</v>
      </c>
      <c r="I8" s="78" t="s">
        <v>49</v>
      </c>
      <c r="J8" s="79"/>
      <c r="K8" s="79"/>
      <c r="L8" t="s">
        <v>51</v>
      </c>
      <c r="M8" s="30">
        <f>((M7-F6)*(1-M12))/((M7-F6)+F5)</f>
        <v>0.42</v>
      </c>
      <c r="N8" s="5"/>
      <c r="P8" s="20" t="s">
        <v>57</v>
      </c>
      <c r="S8" t="s">
        <v>108</v>
      </c>
      <c r="T8">
        <f>M10</f>
        <v>0.63244047619047616</v>
      </c>
      <c r="U8" s="5" t="s">
        <v>23</v>
      </c>
      <c r="W8" s="21" t="s">
        <v>123</v>
      </c>
      <c r="X8" s="8"/>
      <c r="Y8" s="8"/>
      <c r="Z8" s="8" t="s">
        <v>120</v>
      </c>
      <c r="AA8" s="8">
        <v>390</v>
      </c>
      <c r="AB8" s="9" t="s">
        <v>122</v>
      </c>
      <c r="AD8" s="78" t="s">
        <v>62</v>
      </c>
      <c r="AE8" s="79"/>
      <c r="AF8" s="79"/>
      <c r="AG8" t="s">
        <v>63</v>
      </c>
      <c r="AH8" s="30">
        <f>M11^2*AH7</f>
        <v>0.1791914682539682</v>
      </c>
      <c r="AI8" s="5" t="s">
        <v>22</v>
      </c>
    </row>
    <row r="9" spans="2:35" x14ac:dyDescent="0.3">
      <c r="I9" s="78" t="s">
        <v>74</v>
      </c>
      <c r="J9" s="79"/>
      <c r="K9" s="79"/>
      <c r="L9" t="s">
        <v>75</v>
      </c>
      <c r="M9" s="30">
        <f>F39/F5</f>
        <v>0.1328125</v>
      </c>
      <c r="N9" s="5" t="s">
        <v>23</v>
      </c>
      <c r="P9" s="21" t="s">
        <v>74</v>
      </c>
      <c r="Q9" s="8"/>
      <c r="R9" s="8"/>
      <c r="S9" s="8" t="s">
        <v>109</v>
      </c>
      <c r="T9" s="8">
        <f>M9</f>
        <v>0.1328125</v>
      </c>
      <c r="U9" s="9" t="s">
        <v>23</v>
      </c>
      <c r="AD9" s="78" t="s">
        <v>64</v>
      </c>
      <c r="AE9" s="79"/>
      <c r="AF9" s="79"/>
      <c r="AG9" t="s">
        <v>65</v>
      </c>
      <c r="AH9" s="30">
        <f>0.5*F6*M9*(AH5+AH6)*10^-9*F8*10^3</f>
        <v>0.13148437500000001</v>
      </c>
      <c r="AI9" s="5" t="s">
        <v>22</v>
      </c>
    </row>
    <row r="10" spans="2:35" x14ac:dyDescent="0.3">
      <c r="B10" s="89" t="s">
        <v>12</v>
      </c>
      <c r="C10" s="90"/>
      <c r="D10" s="90"/>
      <c r="E10" s="22"/>
      <c r="F10" s="22"/>
      <c r="G10" s="23"/>
      <c r="I10" s="78" t="s">
        <v>57</v>
      </c>
      <c r="J10" s="79"/>
      <c r="K10" s="79"/>
      <c r="L10" t="s">
        <v>58</v>
      </c>
      <c r="M10" s="30">
        <f>SQRT((2*F37)/(T6*F8*F38/100))</f>
        <v>0.63244047619047616</v>
      </c>
      <c r="N10" s="5" t="s">
        <v>23</v>
      </c>
      <c r="P10" s="34" t="s">
        <v>110</v>
      </c>
      <c r="Q10" s="14"/>
      <c r="R10" s="14"/>
      <c r="S10" s="14"/>
      <c r="T10" s="14"/>
      <c r="U10" s="15"/>
      <c r="W10" s="34" t="s">
        <v>124</v>
      </c>
      <c r="X10" s="12"/>
      <c r="Y10" s="12"/>
      <c r="Z10" s="12"/>
      <c r="AA10" s="12"/>
      <c r="AB10" s="13"/>
      <c r="AD10" s="21" t="s">
        <v>76</v>
      </c>
      <c r="AE10" s="8"/>
      <c r="AF10" s="8"/>
      <c r="AG10" s="8" t="s">
        <v>84</v>
      </c>
      <c r="AH10" s="32">
        <f>AH8+AH9</f>
        <v>0.31067584325396824</v>
      </c>
      <c r="AI10" s="9" t="s">
        <v>22</v>
      </c>
    </row>
    <row r="11" spans="2:35" x14ac:dyDescent="0.3">
      <c r="B11" s="26" t="s">
        <v>11</v>
      </c>
      <c r="C11" s="24"/>
      <c r="D11" s="24"/>
      <c r="E11" s="24"/>
      <c r="F11" s="24"/>
      <c r="G11" s="25"/>
      <c r="I11" s="78" t="s">
        <v>59</v>
      </c>
      <c r="J11" s="79"/>
      <c r="K11" s="79"/>
      <c r="L11" t="s">
        <v>60</v>
      </c>
      <c r="M11" s="30">
        <f>M10*SQRT(M8/3)</f>
        <v>0.23663755794329239</v>
      </c>
      <c r="N11" s="5" t="s">
        <v>23</v>
      </c>
      <c r="P11" s="35" t="s">
        <v>77</v>
      </c>
      <c r="Q11" s="28"/>
      <c r="R11" s="28"/>
      <c r="S11" s="28"/>
      <c r="T11" s="28"/>
      <c r="U11" s="29"/>
      <c r="W11" s="20" t="s">
        <v>125</v>
      </c>
      <c r="Z11" t="s">
        <v>126</v>
      </c>
      <c r="AA11" s="27">
        <v>3.03</v>
      </c>
      <c r="AB11" s="5" t="s">
        <v>296</v>
      </c>
    </row>
    <row r="12" spans="2:35" x14ac:dyDescent="0.3">
      <c r="B12" s="20" t="s">
        <v>13</v>
      </c>
      <c r="E12" t="s">
        <v>17</v>
      </c>
      <c r="F12" s="27">
        <v>6</v>
      </c>
      <c r="G12" s="5" t="s">
        <v>22</v>
      </c>
      <c r="I12" s="82" t="s">
        <v>50</v>
      </c>
      <c r="J12" s="83"/>
      <c r="K12" s="83"/>
      <c r="L12" s="8" t="s">
        <v>46</v>
      </c>
      <c r="M12" s="31">
        <v>0.1</v>
      </c>
      <c r="N12" s="9"/>
      <c r="P12" s="3" t="s">
        <v>79</v>
      </c>
      <c r="Q12" s="4"/>
      <c r="R12" s="4"/>
      <c r="S12" t="s">
        <v>80</v>
      </c>
      <c r="T12">
        <f>1-M8-M12</f>
        <v>0.48000000000000009</v>
      </c>
      <c r="U12" s="5"/>
      <c r="W12" s="20" t="s">
        <v>127</v>
      </c>
      <c r="Z12" t="s">
        <v>128</v>
      </c>
      <c r="AA12" s="27">
        <v>0.63200000000000001</v>
      </c>
      <c r="AB12" s="5" t="s">
        <v>140</v>
      </c>
      <c r="AD12" s="52" t="s">
        <v>206</v>
      </c>
      <c r="AE12" s="46"/>
      <c r="AF12" s="46"/>
      <c r="AG12" s="46"/>
      <c r="AH12" s="46"/>
      <c r="AI12" s="46"/>
    </row>
    <row r="13" spans="2:35" x14ac:dyDescent="0.3">
      <c r="B13" s="20" t="s">
        <v>14</v>
      </c>
      <c r="E13" t="s">
        <v>19</v>
      </c>
      <c r="F13" s="27">
        <v>12</v>
      </c>
      <c r="G13" s="5" t="s">
        <v>18</v>
      </c>
      <c r="P13" s="3" t="s">
        <v>78</v>
      </c>
      <c r="Q13" s="4"/>
      <c r="R13" s="4"/>
      <c r="S13" t="s">
        <v>36</v>
      </c>
      <c r="T13">
        <f>(M8*F5)/(T12*(F13+0.7))</f>
        <v>5.5118110236220463</v>
      </c>
      <c r="U13" s="5"/>
      <c r="W13" s="20" t="s">
        <v>129</v>
      </c>
      <c r="Z13" t="s">
        <v>130</v>
      </c>
      <c r="AA13" s="27">
        <v>2.36</v>
      </c>
      <c r="AB13" s="5" t="s">
        <v>141</v>
      </c>
      <c r="AD13" s="26" t="s">
        <v>77</v>
      </c>
      <c r="AE13" s="24"/>
      <c r="AF13" s="24"/>
      <c r="AG13" s="24"/>
      <c r="AH13" s="24"/>
      <c r="AI13" s="25"/>
    </row>
    <row r="14" spans="2:35" x14ac:dyDescent="0.3">
      <c r="B14" s="20" t="s">
        <v>15</v>
      </c>
      <c r="E14" t="s">
        <v>20</v>
      </c>
      <c r="F14">
        <f>F12/F13</f>
        <v>0.5</v>
      </c>
      <c r="G14" s="5" t="s">
        <v>23</v>
      </c>
      <c r="I14" s="37" t="s">
        <v>160</v>
      </c>
      <c r="J14" s="49"/>
      <c r="K14" s="49"/>
      <c r="L14" s="49"/>
      <c r="M14" s="49"/>
      <c r="N14" s="49"/>
      <c r="P14" s="3" t="s">
        <v>85</v>
      </c>
      <c r="Q14" s="4"/>
      <c r="R14" s="4"/>
      <c r="S14" t="s">
        <v>86</v>
      </c>
      <c r="T14">
        <f>(2*F14)/(1-M12-M8)</f>
        <v>2.083333333333333</v>
      </c>
      <c r="U14" s="5" t="s">
        <v>23</v>
      </c>
      <c r="W14" s="20" t="s">
        <v>131</v>
      </c>
      <c r="Z14" t="s">
        <v>132</v>
      </c>
      <c r="AA14" s="45">
        <v>3100</v>
      </c>
      <c r="AB14" s="5" t="s">
        <v>133</v>
      </c>
      <c r="AD14" s="78" t="s">
        <v>62</v>
      </c>
      <c r="AE14" s="79"/>
      <c r="AF14" s="79"/>
      <c r="AG14" t="s">
        <v>63</v>
      </c>
      <c r="AH14" s="30">
        <f>$M$39*F14+T15^2*$M$40</f>
        <v>0.31083333333333329</v>
      </c>
      <c r="AI14" s="5" t="s">
        <v>22</v>
      </c>
    </row>
    <row r="15" spans="2:35" x14ac:dyDescent="0.3">
      <c r="B15" s="20" t="s">
        <v>9</v>
      </c>
      <c r="E15" t="s">
        <v>21</v>
      </c>
      <c r="F15">
        <v>0.25</v>
      </c>
      <c r="G15" s="5" t="s">
        <v>18</v>
      </c>
      <c r="I15" s="35" t="s">
        <v>77</v>
      </c>
      <c r="J15" s="28"/>
      <c r="K15" s="28"/>
      <c r="L15" s="28"/>
      <c r="M15" s="28"/>
      <c r="N15" s="29"/>
      <c r="P15" s="6" t="s">
        <v>87</v>
      </c>
      <c r="Q15" s="7"/>
      <c r="R15" s="7"/>
      <c r="S15" s="8" t="s">
        <v>88</v>
      </c>
      <c r="T15" s="8">
        <f>T14*SQRT((1-$M$8-$M$12)/3)</f>
        <v>0.83333333333333326</v>
      </c>
      <c r="U15" s="9" t="s">
        <v>23</v>
      </c>
      <c r="W15" s="20" t="s">
        <v>134</v>
      </c>
      <c r="Z15" t="s">
        <v>135</v>
      </c>
      <c r="AA15" s="27">
        <v>42</v>
      </c>
      <c r="AB15" s="5" t="s">
        <v>136</v>
      </c>
      <c r="AD15" s="78" t="s">
        <v>64</v>
      </c>
      <c r="AE15" s="79"/>
      <c r="AF15" s="79"/>
      <c r="AG15" t="s">
        <v>65</v>
      </c>
      <c r="AH15">
        <v>0</v>
      </c>
      <c r="AI15" s="5" t="s">
        <v>22</v>
      </c>
    </row>
    <row r="16" spans="2:35" x14ac:dyDescent="0.3">
      <c r="B16" s="21" t="s">
        <v>16</v>
      </c>
      <c r="C16" s="8"/>
      <c r="D16" s="8"/>
      <c r="E16" s="8" t="s">
        <v>24</v>
      </c>
      <c r="F16" s="8">
        <f>F13^2/F12</f>
        <v>24</v>
      </c>
      <c r="G16" s="9" t="s">
        <v>25</v>
      </c>
      <c r="I16" s="3" t="s">
        <v>161</v>
      </c>
      <c r="J16" s="4"/>
      <c r="K16" s="4"/>
      <c r="L16" t="s">
        <v>162</v>
      </c>
      <c r="M16">
        <f>F13+F6/T13</f>
        <v>93.642857142857153</v>
      </c>
      <c r="N16" s="5" t="s">
        <v>18</v>
      </c>
      <c r="P16" s="36" t="s">
        <v>81</v>
      </c>
      <c r="Q16" s="18"/>
      <c r="R16" s="18"/>
      <c r="S16" s="18"/>
      <c r="T16" s="18"/>
      <c r="U16" s="19"/>
      <c r="W16" s="20" t="s">
        <v>142</v>
      </c>
      <c r="Z16" t="s">
        <v>143</v>
      </c>
      <c r="AA16" s="27">
        <v>0.25600000000000001</v>
      </c>
      <c r="AB16" s="5" t="s">
        <v>139</v>
      </c>
      <c r="AD16" s="21" t="s">
        <v>76</v>
      </c>
      <c r="AE16" s="8"/>
      <c r="AF16" s="8"/>
      <c r="AG16" s="8" t="s">
        <v>207</v>
      </c>
      <c r="AH16" s="30">
        <f>AH14+AH15</f>
        <v>0.31083333333333329</v>
      </c>
      <c r="AI16" s="5" t="s">
        <v>22</v>
      </c>
    </row>
    <row r="17" spans="2:35" x14ac:dyDescent="0.3">
      <c r="B17" s="26" t="s">
        <v>26</v>
      </c>
      <c r="C17" s="24"/>
      <c r="D17" s="24"/>
      <c r="E17" s="24"/>
      <c r="F17" s="24"/>
      <c r="G17" s="25"/>
      <c r="I17" s="3" t="s">
        <v>85</v>
      </c>
      <c r="J17" s="4"/>
      <c r="K17" s="4"/>
      <c r="L17" t="s">
        <v>86</v>
      </c>
      <c r="M17">
        <f>(2*F14)/(1-M12-M8)</f>
        <v>2.083333333333333</v>
      </c>
      <c r="N17" s="5" t="s">
        <v>23</v>
      </c>
      <c r="P17" s="3" t="s">
        <v>79</v>
      </c>
      <c r="Q17" s="4"/>
      <c r="R17" s="4"/>
      <c r="S17" t="s">
        <v>80</v>
      </c>
      <c r="T17">
        <f>1-M8-M12</f>
        <v>0.48000000000000009</v>
      </c>
      <c r="U17" s="5"/>
      <c r="W17" s="21" t="s">
        <v>248</v>
      </c>
      <c r="X17" s="8"/>
      <c r="Y17" s="8"/>
      <c r="Z17" s="8" t="s">
        <v>221</v>
      </c>
      <c r="AA17" s="31">
        <v>13</v>
      </c>
      <c r="AB17" s="9" t="s">
        <v>249</v>
      </c>
      <c r="AD17" s="26" t="s">
        <v>81</v>
      </c>
      <c r="AE17" s="24"/>
      <c r="AF17" s="24"/>
      <c r="AG17" s="24"/>
      <c r="AH17" s="24"/>
      <c r="AI17" s="25"/>
    </row>
    <row r="18" spans="2:35" x14ac:dyDescent="0.3">
      <c r="B18" s="20" t="s">
        <v>29</v>
      </c>
      <c r="E18" t="s">
        <v>17</v>
      </c>
      <c r="F18" s="27">
        <v>1.5</v>
      </c>
      <c r="G18" s="5" t="s">
        <v>22</v>
      </c>
      <c r="I18" s="6" t="s">
        <v>87</v>
      </c>
      <c r="J18" s="7"/>
      <c r="K18" s="7"/>
      <c r="L18" s="8" t="s">
        <v>88</v>
      </c>
      <c r="M18" s="8">
        <f>M17*SQRT((1-$M$8-$M$12)/3)</f>
        <v>0.83333333333333326</v>
      </c>
      <c r="N18" s="9" t="s">
        <v>23</v>
      </c>
      <c r="P18" s="3" t="s">
        <v>78</v>
      </c>
      <c r="Q18" s="4"/>
      <c r="R18" s="4"/>
      <c r="S18" t="s">
        <v>36</v>
      </c>
      <c r="T18">
        <f>(M8*F5)/(T17*(F19+0.7))</f>
        <v>4.4585987261146487</v>
      </c>
      <c r="U18" s="5"/>
      <c r="AD18" s="78" t="s">
        <v>62</v>
      </c>
      <c r="AE18" s="79"/>
      <c r="AF18" s="79"/>
      <c r="AG18" t="s">
        <v>63</v>
      </c>
      <c r="AH18" s="30">
        <f>$M$39*F20+T20^2*$M$40</f>
        <v>5.8833333333333328E-2</v>
      </c>
      <c r="AI18" s="5" t="s">
        <v>22</v>
      </c>
    </row>
    <row r="19" spans="2:35" x14ac:dyDescent="0.3">
      <c r="B19" s="20" t="s">
        <v>30</v>
      </c>
      <c r="E19" t="s">
        <v>19</v>
      </c>
      <c r="F19" s="27">
        <v>15</v>
      </c>
      <c r="G19" s="5" t="s">
        <v>18</v>
      </c>
      <c r="I19" s="36" t="s">
        <v>81</v>
      </c>
      <c r="J19" s="18"/>
      <c r="K19" s="18"/>
      <c r="L19" s="18"/>
      <c r="M19" s="18"/>
      <c r="N19" s="19"/>
      <c r="P19" s="3" t="s">
        <v>89</v>
      </c>
      <c r="Q19" s="4"/>
      <c r="R19" s="4"/>
      <c r="S19" t="s">
        <v>91</v>
      </c>
      <c r="T19">
        <f>(2*F20)/(1-$M$12-$M$8)</f>
        <v>0.41666666666666663</v>
      </c>
      <c r="U19" s="5" t="s">
        <v>23</v>
      </c>
      <c r="W19" s="34" t="s">
        <v>258</v>
      </c>
      <c r="X19" s="14"/>
      <c r="Y19" s="14"/>
      <c r="Z19" s="14"/>
      <c r="AA19" s="14"/>
      <c r="AB19" s="15"/>
      <c r="AD19" s="78" t="s">
        <v>64</v>
      </c>
      <c r="AE19" s="79"/>
      <c r="AF19" s="79"/>
      <c r="AG19" t="s">
        <v>65</v>
      </c>
      <c r="AH19">
        <v>0</v>
      </c>
      <c r="AI19" s="5" t="s">
        <v>22</v>
      </c>
    </row>
    <row r="20" spans="2:35" x14ac:dyDescent="0.3">
      <c r="B20" s="20" t="s">
        <v>31</v>
      </c>
      <c r="E20" t="s">
        <v>20</v>
      </c>
      <c r="F20">
        <f>F18/F19</f>
        <v>0.1</v>
      </c>
      <c r="G20" s="5" t="s">
        <v>23</v>
      </c>
      <c r="I20" s="3" t="s">
        <v>161</v>
      </c>
      <c r="J20" s="4"/>
      <c r="K20" s="4"/>
      <c r="L20" t="s">
        <v>163</v>
      </c>
      <c r="M20">
        <f>F19+F6/T18</f>
        <v>115.92857142857144</v>
      </c>
      <c r="N20" s="5" t="s">
        <v>18</v>
      </c>
      <c r="P20" s="6" t="s">
        <v>90</v>
      </c>
      <c r="Q20" s="7"/>
      <c r="R20" s="7"/>
      <c r="S20" s="8" t="s">
        <v>92</v>
      </c>
      <c r="T20" s="8">
        <f>T19*SQRT((1-$M$8-$M$12)/3)</f>
        <v>0.16666666666666666</v>
      </c>
      <c r="U20" s="9" t="s">
        <v>23</v>
      </c>
      <c r="W20" s="20" t="s">
        <v>259</v>
      </c>
      <c r="Z20" t="s">
        <v>260</v>
      </c>
      <c r="AA20">
        <v>2.5999999999999999E-2</v>
      </c>
      <c r="AB20" s="5" t="s">
        <v>55</v>
      </c>
      <c r="AD20" s="21" t="s">
        <v>76</v>
      </c>
      <c r="AE20" s="8"/>
      <c r="AF20" s="8"/>
      <c r="AG20" s="8" t="s">
        <v>210</v>
      </c>
      <c r="AH20" s="30">
        <f>AH18+AH19</f>
        <v>5.8833333333333328E-2</v>
      </c>
      <c r="AI20" s="5" t="s">
        <v>22</v>
      </c>
    </row>
    <row r="21" spans="2:35" x14ac:dyDescent="0.3">
      <c r="B21" s="20" t="s">
        <v>9</v>
      </c>
      <c r="E21" t="s">
        <v>21</v>
      </c>
      <c r="F21">
        <v>0.5</v>
      </c>
      <c r="G21" s="5" t="s">
        <v>18</v>
      </c>
      <c r="I21" s="3" t="s">
        <v>89</v>
      </c>
      <c r="J21" s="4"/>
      <c r="K21" s="4"/>
      <c r="L21" t="s">
        <v>91</v>
      </c>
      <c r="M21">
        <f>(2*F20)/(1-$M$12-$M$8)</f>
        <v>0.41666666666666663</v>
      </c>
      <c r="N21" s="5" t="s">
        <v>23</v>
      </c>
      <c r="P21" s="36" t="s">
        <v>82</v>
      </c>
      <c r="Q21" s="18"/>
      <c r="R21" s="18"/>
      <c r="S21" s="18"/>
      <c r="T21" s="18"/>
      <c r="U21" s="19"/>
      <c r="W21" s="20" t="s">
        <v>261</v>
      </c>
      <c r="Z21" t="s">
        <v>262</v>
      </c>
      <c r="AA21">
        <v>200</v>
      </c>
      <c r="AB21" s="5" t="s">
        <v>18</v>
      </c>
      <c r="AD21" s="26" t="s">
        <v>195</v>
      </c>
      <c r="AE21" s="24"/>
      <c r="AF21" s="24"/>
      <c r="AG21" s="24"/>
      <c r="AH21" s="24"/>
      <c r="AI21" s="25"/>
    </row>
    <row r="22" spans="2:35" x14ac:dyDescent="0.3">
      <c r="B22" s="21" t="s">
        <v>16</v>
      </c>
      <c r="C22" s="8"/>
      <c r="D22" s="8"/>
      <c r="E22" s="8" t="s">
        <v>24</v>
      </c>
      <c r="F22" s="8">
        <f>F19^2/F18</f>
        <v>150</v>
      </c>
      <c r="G22" s="9" t="s">
        <v>25</v>
      </c>
      <c r="I22" s="6" t="s">
        <v>90</v>
      </c>
      <c r="J22" s="7"/>
      <c r="K22" s="7"/>
      <c r="L22" s="8" t="s">
        <v>92</v>
      </c>
      <c r="M22" s="8">
        <f>M21*SQRT((1-$M$8-$M$12)/3)</f>
        <v>0.16666666666666666</v>
      </c>
      <c r="N22" s="9" t="s">
        <v>23</v>
      </c>
      <c r="P22" s="3" t="s">
        <v>79</v>
      </c>
      <c r="Q22" s="4"/>
      <c r="R22" s="4"/>
      <c r="S22" t="s">
        <v>80</v>
      </c>
      <c r="T22">
        <f>1-M8-M12</f>
        <v>0.48000000000000009</v>
      </c>
      <c r="U22" s="5"/>
      <c r="W22" s="20" t="s">
        <v>263</v>
      </c>
      <c r="Z22" t="s">
        <v>264</v>
      </c>
      <c r="AA22">
        <f>F6+AA21</f>
        <v>650</v>
      </c>
      <c r="AB22" s="5" t="s">
        <v>18</v>
      </c>
      <c r="AD22" s="78" t="s">
        <v>62</v>
      </c>
      <c r="AE22" s="79"/>
      <c r="AF22" s="79"/>
      <c r="AG22" t="s">
        <v>63</v>
      </c>
      <c r="AH22" s="30">
        <f>$M$39*F26+T25^2*$M$40</f>
        <v>1.4552083333333332E-2</v>
      </c>
      <c r="AI22" s="5" t="s">
        <v>22</v>
      </c>
    </row>
    <row r="23" spans="2:35" x14ac:dyDescent="0.3">
      <c r="B23" s="26" t="s">
        <v>27</v>
      </c>
      <c r="C23" s="24"/>
      <c r="D23" s="24"/>
      <c r="E23" s="24"/>
      <c r="F23" s="24"/>
      <c r="G23" s="25"/>
      <c r="I23" s="36" t="s">
        <v>82</v>
      </c>
      <c r="J23" s="18"/>
      <c r="K23" s="18"/>
      <c r="L23" s="18"/>
      <c r="M23" s="18"/>
      <c r="N23" s="19"/>
      <c r="P23" s="3" t="s">
        <v>78</v>
      </c>
      <c r="Q23" s="4"/>
      <c r="R23" s="4"/>
      <c r="S23" t="s">
        <v>36</v>
      </c>
      <c r="T23">
        <f>(M8*F5)/(T22*(F25+0.7))</f>
        <v>3.3816425120772942</v>
      </c>
      <c r="U23" s="5"/>
      <c r="W23" s="20" t="s">
        <v>265</v>
      </c>
      <c r="Z23" t="s">
        <v>266</v>
      </c>
      <c r="AA23" s="30">
        <f>1/2*AA20*10^-3*T8^2*(AA21/(AA21-T13*F13))*F8*10^3</f>
        <v>0.77690418615362811</v>
      </c>
      <c r="AB23" s="5" t="s">
        <v>22</v>
      </c>
      <c r="AD23" s="78" t="s">
        <v>64</v>
      </c>
      <c r="AE23" s="79"/>
      <c r="AF23" s="79"/>
      <c r="AG23" t="s">
        <v>65</v>
      </c>
      <c r="AH23">
        <v>0</v>
      </c>
      <c r="AI23" s="5" t="s">
        <v>22</v>
      </c>
    </row>
    <row r="24" spans="2:35" x14ac:dyDescent="0.3">
      <c r="B24" s="20" t="s">
        <v>13</v>
      </c>
      <c r="E24" t="s">
        <v>17</v>
      </c>
      <c r="F24" s="27">
        <v>0.5</v>
      </c>
      <c r="G24" s="5" t="s">
        <v>22</v>
      </c>
      <c r="I24" s="3" t="s">
        <v>161</v>
      </c>
      <c r="J24" s="4"/>
      <c r="K24" s="4"/>
      <c r="L24" t="s">
        <v>164</v>
      </c>
      <c r="M24">
        <f>F25+F6/T23</f>
        <v>153.07142857142858</v>
      </c>
      <c r="N24" s="5" t="s">
        <v>18</v>
      </c>
      <c r="P24" s="3" t="s">
        <v>93</v>
      </c>
      <c r="Q24" s="4"/>
      <c r="R24" s="4"/>
      <c r="S24" t="s">
        <v>97</v>
      </c>
      <c r="T24">
        <f>(2*F26)/(1-$M$12-$M$8)</f>
        <v>0.10416666666666666</v>
      </c>
      <c r="U24" s="5" t="s">
        <v>23</v>
      </c>
      <c r="W24" s="20" t="s">
        <v>267</v>
      </c>
      <c r="Z24" t="s">
        <v>268</v>
      </c>
      <c r="AA24" s="30">
        <f>AA21^2/AA23</f>
        <v>51486.400399045146</v>
      </c>
      <c r="AB24" s="5" t="s">
        <v>73</v>
      </c>
      <c r="AD24" s="21" t="s">
        <v>76</v>
      </c>
      <c r="AE24" s="8"/>
      <c r="AF24" s="8"/>
      <c r="AG24" s="8" t="s">
        <v>211</v>
      </c>
      <c r="AH24" s="30">
        <f>AH22+AH23</f>
        <v>1.4552083333333332E-2</v>
      </c>
      <c r="AI24" s="5" t="s">
        <v>22</v>
      </c>
    </row>
    <row r="25" spans="2:35" x14ac:dyDescent="0.3">
      <c r="B25" s="20" t="s">
        <v>14</v>
      </c>
      <c r="E25" t="s">
        <v>19</v>
      </c>
      <c r="F25" s="27">
        <v>20</v>
      </c>
      <c r="G25" s="5" t="s">
        <v>18</v>
      </c>
      <c r="I25" s="3" t="s">
        <v>93</v>
      </c>
      <c r="J25" s="4"/>
      <c r="K25" s="4"/>
      <c r="L25" t="s">
        <v>97</v>
      </c>
      <c r="M25">
        <f>(2*F26)/(1-$M$12-$M$8)</f>
        <v>0.10416666666666666</v>
      </c>
      <c r="N25" s="5" t="s">
        <v>23</v>
      </c>
      <c r="P25" s="6" t="s">
        <v>94</v>
      </c>
      <c r="Q25" s="7"/>
      <c r="R25" s="7"/>
      <c r="S25" s="8" t="s">
        <v>98</v>
      </c>
      <c r="T25" s="8">
        <f>T24*SQRT((1-$M$8-$M$12)/3)</f>
        <v>4.1666666666666664E-2</v>
      </c>
      <c r="U25" s="9" t="s">
        <v>23</v>
      </c>
      <c r="W25" s="20" t="s">
        <v>270</v>
      </c>
      <c r="Z25" t="s">
        <v>269</v>
      </c>
      <c r="AA25">
        <f>5/100*AA21</f>
        <v>10</v>
      </c>
      <c r="AB25" s="5" t="s">
        <v>18</v>
      </c>
      <c r="AD25" s="26" t="s">
        <v>83</v>
      </c>
      <c r="AE25" s="24"/>
      <c r="AF25" s="24"/>
      <c r="AG25" s="24"/>
      <c r="AH25" s="24"/>
      <c r="AI25" s="25"/>
    </row>
    <row r="26" spans="2:35" x14ac:dyDescent="0.3">
      <c r="B26" s="20" t="s">
        <v>15</v>
      </c>
      <c r="E26" t="s">
        <v>20</v>
      </c>
      <c r="F26">
        <f>F24/F25</f>
        <v>2.5000000000000001E-2</v>
      </c>
      <c r="G26" s="5" t="s">
        <v>23</v>
      </c>
      <c r="I26" s="6" t="s">
        <v>94</v>
      </c>
      <c r="J26" s="7"/>
      <c r="K26" s="7"/>
      <c r="L26" s="8" t="s">
        <v>98</v>
      </c>
      <c r="M26" s="8">
        <f>M25*SQRT((1-$M$8-$M$12)/3)</f>
        <v>4.1666666666666664E-2</v>
      </c>
      <c r="N26" s="9" t="s">
        <v>23</v>
      </c>
      <c r="P26" s="36" t="s">
        <v>83</v>
      </c>
      <c r="Q26" s="18"/>
      <c r="R26" s="18"/>
      <c r="S26" s="18"/>
      <c r="T26" s="18"/>
      <c r="U26" s="19"/>
      <c r="W26" s="21" t="s">
        <v>271</v>
      </c>
      <c r="X26" s="8"/>
      <c r="Y26" s="8"/>
      <c r="Z26" s="8" t="s">
        <v>272</v>
      </c>
      <c r="AA26" s="8">
        <f>AA21/(AA25*AA24*F8*10^3)</f>
        <v>3.8845209307681401E-9</v>
      </c>
      <c r="AB26" s="9" t="s">
        <v>273</v>
      </c>
      <c r="AD26" s="78" t="s">
        <v>62</v>
      </c>
      <c r="AE26" s="79"/>
      <c r="AF26" s="79"/>
      <c r="AG26" t="s">
        <v>63</v>
      </c>
      <c r="AH26" s="30">
        <f>$M$39*F32+T30^2*$M$40</f>
        <v>1.4552083333333332E-2</v>
      </c>
      <c r="AI26" s="5" t="s">
        <v>22</v>
      </c>
    </row>
    <row r="27" spans="2:35" x14ac:dyDescent="0.3">
      <c r="B27" s="20" t="s">
        <v>9</v>
      </c>
      <c r="E27" t="s">
        <v>21</v>
      </c>
      <c r="F27">
        <v>0.25</v>
      </c>
      <c r="G27" s="5" t="s">
        <v>18</v>
      </c>
      <c r="I27" s="36" t="s">
        <v>83</v>
      </c>
      <c r="J27" s="18"/>
      <c r="K27" s="18"/>
      <c r="L27" s="18"/>
      <c r="M27" s="18"/>
      <c r="N27" s="19"/>
      <c r="P27" s="3" t="s">
        <v>79</v>
      </c>
      <c r="Q27" s="4"/>
      <c r="R27" s="4"/>
      <c r="S27" t="s">
        <v>80</v>
      </c>
      <c r="T27">
        <f>1-M8-M12</f>
        <v>0.48000000000000009</v>
      </c>
      <c r="U27" s="5"/>
      <c r="W27" s="34" t="s">
        <v>274</v>
      </c>
      <c r="X27" s="14"/>
      <c r="Y27" s="14"/>
      <c r="Z27" s="14" t="s">
        <v>278</v>
      </c>
      <c r="AA27" s="14"/>
      <c r="AB27" s="15"/>
      <c r="AD27" s="78" t="s">
        <v>64</v>
      </c>
      <c r="AE27" s="79"/>
      <c r="AF27" s="79"/>
      <c r="AG27" t="s">
        <v>65</v>
      </c>
      <c r="AH27">
        <v>0</v>
      </c>
      <c r="AI27" s="5" t="s">
        <v>22</v>
      </c>
    </row>
    <row r="28" spans="2:35" x14ac:dyDescent="0.3">
      <c r="B28" s="21" t="s">
        <v>16</v>
      </c>
      <c r="C28" s="8"/>
      <c r="D28" s="8"/>
      <c r="E28" s="8" t="s">
        <v>24</v>
      </c>
      <c r="F28" s="8">
        <f>F25^2/F24</f>
        <v>800</v>
      </c>
      <c r="G28" s="9" t="s">
        <v>25</v>
      </c>
      <c r="I28" s="3" t="s">
        <v>161</v>
      </c>
      <c r="J28" s="4"/>
      <c r="K28" s="4"/>
      <c r="L28" t="s">
        <v>165</v>
      </c>
      <c r="M28">
        <f>F31+F6/T28</f>
        <v>153.07142857142858</v>
      </c>
      <c r="N28" s="5" t="s">
        <v>18</v>
      </c>
      <c r="P28" s="3" t="s">
        <v>78</v>
      </c>
      <c r="Q28" s="4"/>
      <c r="R28" s="4"/>
      <c r="S28" t="s">
        <v>36</v>
      </c>
      <c r="T28">
        <f>(M8*F5)/(T27*(F31+0.7))</f>
        <v>3.3816425120772942</v>
      </c>
      <c r="U28" s="5"/>
      <c r="W28" s="38" t="s">
        <v>275</v>
      </c>
      <c r="X28" s="1"/>
      <c r="Y28" s="1"/>
      <c r="Z28" s="1" t="s">
        <v>276</v>
      </c>
      <c r="AA28" s="63">
        <f>AA21+F6</f>
        <v>650</v>
      </c>
      <c r="AB28" s="2" t="s">
        <v>18</v>
      </c>
      <c r="AD28" s="21" t="s">
        <v>76</v>
      </c>
      <c r="AE28" s="8"/>
      <c r="AF28" s="8"/>
      <c r="AG28" s="8" t="s">
        <v>212</v>
      </c>
      <c r="AH28" s="32">
        <f>AH26+AH27</f>
        <v>1.4552083333333332E-2</v>
      </c>
      <c r="AI28" s="9" t="s">
        <v>22</v>
      </c>
    </row>
    <row r="29" spans="2:35" x14ac:dyDescent="0.3">
      <c r="B29" s="26" t="s">
        <v>28</v>
      </c>
      <c r="C29" s="24"/>
      <c r="D29" s="24"/>
      <c r="E29" s="24"/>
      <c r="F29" s="24"/>
      <c r="G29" s="25"/>
      <c r="I29" s="3" t="s">
        <v>95</v>
      </c>
      <c r="J29" s="4"/>
      <c r="K29" s="4"/>
      <c r="L29" t="s">
        <v>99</v>
      </c>
      <c r="M29">
        <f>(2*F32)/(1-$M$12-$M$8)</f>
        <v>0.10416666666666666</v>
      </c>
      <c r="N29" s="5" t="s">
        <v>23</v>
      </c>
      <c r="P29" s="3" t="s">
        <v>95</v>
      </c>
      <c r="Q29" s="4"/>
      <c r="R29" s="4"/>
      <c r="S29" t="s">
        <v>99</v>
      </c>
      <c r="T29">
        <f>(2*F32)/(1-$M$12-$M$8)</f>
        <v>0.10416666666666666</v>
      </c>
      <c r="U29" s="5" t="s">
        <v>23</v>
      </c>
      <c r="W29" s="20" t="s">
        <v>277</v>
      </c>
      <c r="Z29" t="s">
        <v>58</v>
      </c>
      <c r="AA29" s="30">
        <f>T8</f>
        <v>0.63244047619047616</v>
      </c>
      <c r="AB29" s="5" t="s">
        <v>23</v>
      </c>
      <c r="AD29" s="54" t="s">
        <v>208</v>
      </c>
      <c r="AE29" s="39"/>
      <c r="AF29" s="39"/>
      <c r="AG29" s="39" t="s">
        <v>209</v>
      </c>
      <c r="AH29" s="55">
        <f>AH16+AH20+AH24+AH28</f>
        <v>0.39877083333333335</v>
      </c>
      <c r="AI29" s="40" t="s">
        <v>22</v>
      </c>
    </row>
    <row r="30" spans="2:35" x14ac:dyDescent="0.3">
      <c r="B30" s="20" t="s">
        <v>13</v>
      </c>
      <c r="E30" t="s">
        <v>17</v>
      </c>
      <c r="F30" s="27">
        <v>0.5</v>
      </c>
      <c r="G30" s="5" t="s">
        <v>22</v>
      </c>
      <c r="I30" s="6" t="s">
        <v>96</v>
      </c>
      <c r="J30" s="7"/>
      <c r="K30" s="7"/>
      <c r="L30" s="8" t="s">
        <v>100</v>
      </c>
      <c r="M30" s="8">
        <f>M29*SQRT((1-$M$8-$M$12)/3)</f>
        <v>4.1666666666666664E-2</v>
      </c>
      <c r="N30" s="9" t="s">
        <v>23</v>
      </c>
      <c r="P30" s="6" t="s">
        <v>96</v>
      </c>
      <c r="Q30" s="7"/>
      <c r="R30" s="7"/>
      <c r="S30" s="8" t="s">
        <v>100</v>
      </c>
      <c r="T30" s="8">
        <f>T29*SQRT((1-$M$8-$M$12)/3)</f>
        <v>4.1666666666666664E-2</v>
      </c>
      <c r="U30" s="9" t="s">
        <v>23</v>
      </c>
      <c r="W30" s="20" t="s">
        <v>279</v>
      </c>
      <c r="Z30" t="s">
        <v>280</v>
      </c>
      <c r="AA30">
        <v>800</v>
      </c>
      <c r="AB30" s="5" t="s">
        <v>18</v>
      </c>
    </row>
    <row r="31" spans="2:35" ht="15.6" x14ac:dyDescent="0.3">
      <c r="B31" s="20" t="s">
        <v>14</v>
      </c>
      <c r="E31" t="s">
        <v>19</v>
      </c>
      <c r="F31" s="27">
        <v>20</v>
      </c>
      <c r="G31" s="5" t="s">
        <v>18</v>
      </c>
      <c r="W31" s="20" t="s">
        <v>281</v>
      </c>
      <c r="Z31" t="s">
        <v>282</v>
      </c>
      <c r="AA31">
        <v>1</v>
      </c>
      <c r="AB31" s="5" t="s">
        <v>23</v>
      </c>
      <c r="AD31" s="57" t="s">
        <v>239</v>
      </c>
    </row>
    <row r="32" spans="2:35" x14ac:dyDescent="0.3">
      <c r="B32" s="20" t="s">
        <v>15</v>
      </c>
      <c r="E32" t="s">
        <v>20</v>
      </c>
      <c r="F32">
        <f>F30/F31</f>
        <v>2.5000000000000001E-2</v>
      </c>
      <c r="G32" s="5" t="s">
        <v>23</v>
      </c>
      <c r="I32" s="50" t="s">
        <v>166</v>
      </c>
      <c r="J32" s="14"/>
      <c r="K32" s="14"/>
      <c r="L32" s="14" t="s">
        <v>167</v>
      </c>
      <c r="M32" s="14"/>
      <c r="N32" s="15"/>
      <c r="P32" s="41" t="s">
        <v>152</v>
      </c>
      <c r="Q32" s="42"/>
      <c r="R32" s="42"/>
      <c r="S32" s="42"/>
      <c r="T32" s="42"/>
      <c r="U32" s="43"/>
      <c r="W32" s="20" t="s">
        <v>283</v>
      </c>
      <c r="Z32" t="s">
        <v>284</v>
      </c>
      <c r="AA32">
        <v>150</v>
      </c>
      <c r="AB32" s="5" t="s">
        <v>176</v>
      </c>
      <c r="AD32" s="26" t="s">
        <v>56</v>
      </c>
      <c r="AE32" s="24"/>
      <c r="AF32" s="24"/>
      <c r="AG32" s="24"/>
      <c r="AH32" s="24"/>
      <c r="AI32" s="25"/>
    </row>
    <row r="33" spans="2:35" x14ac:dyDescent="0.3">
      <c r="B33" s="20" t="s">
        <v>9</v>
      </c>
      <c r="E33" t="s">
        <v>21</v>
      </c>
      <c r="F33">
        <v>0.25</v>
      </c>
      <c r="G33" s="5" t="s">
        <v>18</v>
      </c>
      <c r="I33" s="3" t="s">
        <v>168</v>
      </c>
      <c r="L33" t="s">
        <v>169</v>
      </c>
      <c r="M33">
        <v>200</v>
      </c>
      <c r="N33" s="5" t="s">
        <v>18</v>
      </c>
      <c r="P33" s="3" t="s">
        <v>101</v>
      </c>
      <c r="Q33" s="4"/>
      <c r="R33" s="4"/>
      <c r="S33" t="s">
        <v>102</v>
      </c>
      <c r="T33" s="27">
        <v>0.3</v>
      </c>
      <c r="U33" s="5"/>
      <c r="W33" s="21" t="s">
        <v>285</v>
      </c>
      <c r="X33" s="8"/>
      <c r="Y33" s="8"/>
      <c r="Z33" s="8" t="s">
        <v>286</v>
      </c>
      <c r="AA33" s="8">
        <v>75</v>
      </c>
      <c r="AB33" s="9" t="s">
        <v>72</v>
      </c>
      <c r="AD33" s="38" t="s">
        <v>215</v>
      </c>
      <c r="AE33" s="1"/>
      <c r="AF33" s="1"/>
      <c r="AG33" s="1" t="s">
        <v>216</v>
      </c>
      <c r="AH33" s="1">
        <f>2.3*10^-8</f>
        <v>2.2999999999999998E-8</v>
      </c>
      <c r="AI33" s="2" t="s">
        <v>217</v>
      </c>
    </row>
    <row r="34" spans="2:35" x14ac:dyDescent="0.3">
      <c r="B34" s="21" t="s">
        <v>16</v>
      </c>
      <c r="C34" s="8"/>
      <c r="D34" s="8"/>
      <c r="E34" s="8" t="s">
        <v>24</v>
      </c>
      <c r="F34" s="8">
        <f>F31^2/F30</f>
        <v>800</v>
      </c>
      <c r="G34" s="9" t="s">
        <v>25</v>
      </c>
      <c r="I34" s="3" t="s">
        <v>170</v>
      </c>
      <c r="L34" t="s">
        <v>171</v>
      </c>
      <c r="M34">
        <v>10</v>
      </c>
      <c r="N34" s="5" t="s">
        <v>23</v>
      </c>
      <c r="P34" s="20" t="s">
        <v>103</v>
      </c>
      <c r="S34" t="s">
        <v>104</v>
      </c>
      <c r="T34" s="27">
        <v>600</v>
      </c>
      <c r="U34" s="5" t="s">
        <v>105</v>
      </c>
      <c r="W34" s="62" t="s">
        <v>287</v>
      </c>
      <c r="X34" s="49"/>
      <c r="Y34" s="49"/>
      <c r="Z34" s="49"/>
      <c r="AA34" s="49"/>
      <c r="AB34" s="43"/>
      <c r="AD34" s="20" t="s">
        <v>218</v>
      </c>
      <c r="AG34" t="s">
        <v>190</v>
      </c>
      <c r="AH34">
        <v>0.2</v>
      </c>
      <c r="AI34" s="5" t="s">
        <v>136</v>
      </c>
    </row>
    <row r="35" spans="2:35" x14ac:dyDescent="0.3">
      <c r="I35" s="3" t="s">
        <v>173</v>
      </c>
      <c r="L35" t="s">
        <v>172</v>
      </c>
      <c r="M35">
        <v>2</v>
      </c>
      <c r="N35" s="5" t="s">
        <v>23</v>
      </c>
      <c r="P35" s="20" t="s">
        <v>138</v>
      </c>
      <c r="S35" t="s">
        <v>137</v>
      </c>
      <c r="T35" s="30">
        <f>((F5*M8)*(T7+1/T13*T15+1/T18*T20+1/T23*T25+1/T28*T30)*10^4)/(T36*T33*T34*F8*10^3)</f>
        <v>2.7990781383138201E-2</v>
      </c>
      <c r="U35" s="5" t="s">
        <v>114</v>
      </c>
      <c r="W35" s="20" t="s">
        <v>288</v>
      </c>
      <c r="Z35" t="s">
        <v>289</v>
      </c>
      <c r="AA35">
        <f>AA21+AA25</f>
        <v>210</v>
      </c>
      <c r="AB35" s="5" t="s">
        <v>18</v>
      </c>
      <c r="AD35" s="20" t="s">
        <v>134</v>
      </c>
      <c r="AG35" t="s">
        <v>135</v>
      </c>
      <c r="AH35">
        <f>AA15/1000</f>
        <v>4.2000000000000003E-2</v>
      </c>
      <c r="AI35" s="5" t="s">
        <v>221</v>
      </c>
    </row>
    <row r="36" spans="2:35" x14ac:dyDescent="0.3">
      <c r="B36" s="26" t="s">
        <v>32</v>
      </c>
      <c r="C36" s="24"/>
      <c r="D36" s="24"/>
      <c r="E36" s="24"/>
      <c r="F36" s="24"/>
      <c r="G36" s="25"/>
      <c r="I36" s="20" t="s">
        <v>174</v>
      </c>
      <c r="L36" t="s">
        <v>175</v>
      </c>
      <c r="M36">
        <v>175</v>
      </c>
      <c r="N36" s="5" t="s">
        <v>176</v>
      </c>
      <c r="P36" s="21" t="s">
        <v>111</v>
      </c>
      <c r="Q36" s="8"/>
      <c r="R36" s="8"/>
      <c r="S36" s="8" t="s">
        <v>112</v>
      </c>
      <c r="T36" s="31">
        <v>0.3</v>
      </c>
      <c r="U36" s="9" t="s">
        <v>113</v>
      </c>
      <c r="W36" s="21" t="s">
        <v>271</v>
      </c>
      <c r="X36" s="8"/>
      <c r="Y36" s="8"/>
      <c r="Z36" s="8" t="s">
        <v>272</v>
      </c>
      <c r="AA36" s="8">
        <f>AA21/(AA25*AA24*F8*10^3)</f>
        <v>3.8845209307681401E-9</v>
      </c>
      <c r="AB36" s="9" t="s">
        <v>273</v>
      </c>
      <c r="AD36" s="20" t="s">
        <v>219</v>
      </c>
      <c r="AG36" t="s">
        <v>220</v>
      </c>
      <c r="AH36">
        <f>AH35*U44</f>
        <v>2.226</v>
      </c>
      <c r="AI36" s="5" t="s">
        <v>221</v>
      </c>
    </row>
    <row r="37" spans="2:35" x14ac:dyDescent="0.3">
      <c r="B37" s="20" t="s">
        <v>33</v>
      </c>
      <c r="E37" t="s">
        <v>34</v>
      </c>
      <c r="F37" s="27">
        <f>F12+F18+F24+F30</f>
        <v>8.5</v>
      </c>
      <c r="G37" s="5" t="s">
        <v>22</v>
      </c>
      <c r="I37" s="20" t="s">
        <v>177</v>
      </c>
      <c r="L37" t="s">
        <v>178</v>
      </c>
      <c r="M37">
        <v>175</v>
      </c>
      <c r="N37" s="5" t="s">
        <v>176</v>
      </c>
      <c r="P37" s="20" t="s">
        <v>144</v>
      </c>
      <c r="S37" t="s">
        <v>145</v>
      </c>
      <c r="T37" s="30">
        <f>AA16*AA12</f>
        <v>0.16179199999999999</v>
      </c>
      <c r="U37" s="5" t="s">
        <v>114</v>
      </c>
      <c r="W37" s="62" t="s">
        <v>290</v>
      </c>
      <c r="X37" s="37"/>
      <c r="Y37" s="37"/>
      <c r="Z37" s="37"/>
      <c r="AA37" s="37"/>
      <c r="AB37" s="37"/>
      <c r="AD37" s="20" t="s">
        <v>222</v>
      </c>
      <c r="AG37" t="s">
        <v>223</v>
      </c>
      <c r="AH37">
        <f>3.14*(AH34*10^-3)^2/4</f>
        <v>3.1400000000000003E-8</v>
      </c>
      <c r="AI37" s="5" t="s">
        <v>224</v>
      </c>
    </row>
    <row r="38" spans="2:35" x14ac:dyDescent="0.3">
      <c r="B38" s="20" t="s">
        <v>35</v>
      </c>
      <c r="E38" t="s">
        <v>36</v>
      </c>
      <c r="F38" s="27">
        <v>80</v>
      </c>
      <c r="G38" s="5" t="s">
        <v>37</v>
      </c>
      <c r="I38" s="20" t="s">
        <v>179</v>
      </c>
      <c r="L38" t="s">
        <v>180</v>
      </c>
      <c r="M38">
        <v>20</v>
      </c>
      <c r="N38" s="5" t="s">
        <v>181</v>
      </c>
      <c r="P38" s="20" t="s">
        <v>146</v>
      </c>
      <c r="T38">
        <f>T37/T35</f>
        <v>5.780188762342461</v>
      </c>
      <c r="U38" s="5"/>
      <c r="W38" s="20" t="s">
        <v>288</v>
      </c>
      <c r="Z38" t="s">
        <v>289</v>
      </c>
      <c r="AA38">
        <f>AA21+AA25</f>
        <v>210</v>
      </c>
      <c r="AB38" s="5" t="s">
        <v>18</v>
      </c>
      <c r="AD38" s="20" t="s">
        <v>225</v>
      </c>
      <c r="AG38" t="s">
        <v>226</v>
      </c>
      <c r="AH38">
        <f>AH33*AH36/AH37</f>
        <v>1.6305095541401271</v>
      </c>
      <c r="AI38" s="5" t="s">
        <v>73</v>
      </c>
    </row>
    <row r="39" spans="2:35" x14ac:dyDescent="0.3">
      <c r="B39" s="21" t="s">
        <v>38</v>
      </c>
      <c r="C39" s="8"/>
      <c r="D39" s="8"/>
      <c r="E39" s="8" t="s">
        <v>39</v>
      </c>
      <c r="F39" s="31">
        <f>(F37/F38)*100</f>
        <v>10.625</v>
      </c>
      <c r="G39" s="9" t="s">
        <v>22</v>
      </c>
      <c r="I39" s="20" t="s">
        <v>182</v>
      </c>
      <c r="L39" t="s">
        <v>183</v>
      </c>
      <c r="M39">
        <v>0.57999999999999996</v>
      </c>
      <c r="N39" s="5" t="s">
        <v>18</v>
      </c>
      <c r="P39" s="20" t="s">
        <v>149</v>
      </c>
      <c r="S39" t="s">
        <v>150</v>
      </c>
      <c r="T39" s="27">
        <v>0.8</v>
      </c>
      <c r="U39" s="5" t="s">
        <v>23</v>
      </c>
      <c r="W39" s="21" t="s">
        <v>265</v>
      </c>
      <c r="X39" s="8"/>
      <c r="Y39" s="8"/>
      <c r="Z39" s="8" t="s">
        <v>266</v>
      </c>
      <c r="AA39" s="32">
        <f>1/2*AA20*10^-3*T8^2*(AA21/(AA21-T13*F13))*F8*10^3</f>
        <v>0.77690418615362811</v>
      </c>
      <c r="AB39" s="9" t="s">
        <v>22</v>
      </c>
      <c r="AD39" s="20" t="s">
        <v>227</v>
      </c>
      <c r="AH39">
        <v>1.0015000000000001</v>
      </c>
      <c r="AI39" s="5"/>
    </row>
    <row r="40" spans="2:35" x14ac:dyDescent="0.3">
      <c r="I40" s="21" t="s">
        <v>68</v>
      </c>
      <c r="J40" s="8"/>
      <c r="K40" s="8"/>
      <c r="L40" s="8" t="s">
        <v>71</v>
      </c>
      <c r="M40" s="8">
        <v>0.03</v>
      </c>
      <c r="N40" s="9" t="s">
        <v>25</v>
      </c>
      <c r="P40" s="21" t="s">
        <v>147</v>
      </c>
      <c r="Q40" s="8"/>
      <c r="R40" s="8"/>
      <c r="S40" s="8" t="s">
        <v>148</v>
      </c>
      <c r="T40" s="32">
        <f>(T6*10^-3*T39)/(T36*AA12*10^-4)</f>
        <v>22.416679076693971</v>
      </c>
      <c r="U40" s="9" t="s">
        <v>151</v>
      </c>
      <c r="AD40" s="20" t="s">
        <v>229</v>
      </c>
      <c r="AG40" t="s">
        <v>230</v>
      </c>
      <c r="AH40">
        <f>AH38*AH39</f>
        <v>1.6329553184713375</v>
      </c>
      <c r="AI40" s="5" t="s">
        <v>73</v>
      </c>
    </row>
    <row r="41" spans="2:35" x14ac:dyDescent="0.3">
      <c r="P41" s="56" t="s">
        <v>294</v>
      </c>
      <c r="Q41" s="10"/>
      <c r="R41" s="10"/>
      <c r="S41" s="10" t="s">
        <v>295</v>
      </c>
      <c r="T41" s="10">
        <f>(0.4*3.14*10^(-8)*U44^2*AA12)/(T6*10^-3)-AA11/AA6</f>
        <v>4.0592714446763559E-2</v>
      </c>
      <c r="U41" s="11" t="s">
        <v>296</v>
      </c>
      <c r="W41" t="s">
        <v>297</v>
      </c>
      <c r="AD41" s="21" t="s">
        <v>231</v>
      </c>
      <c r="AE41" s="8"/>
      <c r="AF41" s="8"/>
      <c r="AG41" s="8" t="s">
        <v>232</v>
      </c>
      <c r="AH41" s="32">
        <f>T7^2*(AH38+AH40)</f>
        <v>0.18274533191203052</v>
      </c>
      <c r="AI41" s="9" t="s">
        <v>22</v>
      </c>
    </row>
    <row r="42" spans="2:35" x14ac:dyDescent="0.3">
      <c r="B42" s="64" t="s">
        <v>301</v>
      </c>
      <c r="C42" s="65"/>
      <c r="D42" s="65"/>
      <c r="E42" s="65"/>
      <c r="F42" s="65"/>
      <c r="G42" s="66"/>
      <c r="I42" s="67" t="s">
        <v>309</v>
      </c>
      <c r="J42" s="70"/>
      <c r="K42" s="70"/>
      <c r="L42" s="70"/>
      <c r="M42" s="70"/>
      <c r="N42" s="71"/>
      <c r="P42" s="51" t="s">
        <v>184</v>
      </c>
      <c r="Q42" s="52"/>
      <c r="R42" s="52"/>
      <c r="S42" s="52"/>
      <c r="T42" s="52"/>
      <c r="U42" s="46"/>
      <c r="W42" s="26" t="s">
        <v>77</v>
      </c>
      <c r="X42" s="24"/>
      <c r="Y42" s="24"/>
      <c r="Z42" s="24"/>
      <c r="AA42" s="24"/>
      <c r="AB42" s="25"/>
      <c r="AD42" s="51" t="s">
        <v>110</v>
      </c>
      <c r="AE42" s="52"/>
      <c r="AF42" s="52"/>
      <c r="AG42" s="52"/>
      <c r="AH42" s="52"/>
      <c r="AI42" s="52"/>
    </row>
    <row r="43" spans="2:35" x14ac:dyDescent="0.3">
      <c r="B43" s="67" t="s">
        <v>302</v>
      </c>
      <c r="C43" s="68"/>
      <c r="D43" s="68"/>
      <c r="E43" s="68"/>
      <c r="F43" s="68"/>
      <c r="G43" s="69"/>
      <c r="I43" s="20" t="s">
        <v>310</v>
      </c>
      <c r="L43" t="s">
        <v>311</v>
      </c>
      <c r="M43">
        <v>2.4950000000000001</v>
      </c>
      <c r="N43" s="5" t="s">
        <v>18</v>
      </c>
      <c r="P43" s="47" t="s">
        <v>153</v>
      </c>
      <c r="Q43" s="23"/>
      <c r="T43" s="47" t="s">
        <v>158</v>
      </c>
      <c r="U43" s="23"/>
      <c r="W43" s="20" t="s">
        <v>270</v>
      </c>
      <c r="Z43" t="s">
        <v>269</v>
      </c>
      <c r="AA43">
        <v>0.25</v>
      </c>
      <c r="AB43" s="5" t="s">
        <v>18</v>
      </c>
      <c r="AD43" s="36" t="s">
        <v>77</v>
      </c>
      <c r="AE43" s="18"/>
      <c r="AF43" s="18"/>
      <c r="AG43" s="18"/>
      <c r="AH43" s="18"/>
      <c r="AI43" s="18"/>
    </row>
    <row r="44" spans="2:35" x14ac:dyDescent="0.3">
      <c r="B44" s="74" t="s">
        <v>303</v>
      </c>
      <c r="C44" s="75"/>
      <c r="D44" s="75"/>
      <c r="E44" t="s">
        <v>304</v>
      </c>
      <c r="F44">
        <v>106</v>
      </c>
      <c r="G44" s="5" t="s">
        <v>308</v>
      </c>
      <c r="I44" s="20" t="s">
        <v>310</v>
      </c>
      <c r="L44" t="s">
        <v>312</v>
      </c>
      <c r="M44">
        <v>36</v>
      </c>
      <c r="N44" s="5" t="s">
        <v>18</v>
      </c>
      <c r="P44" s="20" t="s">
        <v>154</v>
      </c>
      <c r="Q44" s="53">
        <v>27</v>
      </c>
      <c r="R44" t="s">
        <v>250</v>
      </c>
      <c r="T44" s="20" t="s">
        <v>154</v>
      </c>
      <c r="U44" s="53">
        <v>53</v>
      </c>
      <c r="W44" s="20" t="s">
        <v>298</v>
      </c>
      <c r="Z44" t="s">
        <v>299</v>
      </c>
      <c r="AA44">
        <f>(F14*M8)/(F8*10^3*AA43)</f>
        <v>8.3999999999999992E-6</v>
      </c>
      <c r="AB44" s="5" t="s">
        <v>273</v>
      </c>
      <c r="AD44" s="38" t="s">
        <v>215</v>
      </c>
      <c r="AE44" s="1"/>
      <c r="AF44" s="1"/>
      <c r="AG44" s="1" t="s">
        <v>216</v>
      </c>
      <c r="AH44" s="1">
        <f>2.3*10^-8</f>
        <v>2.2999999999999998E-8</v>
      </c>
      <c r="AI44" s="2" t="s">
        <v>217</v>
      </c>
    </row>
    <row r="45" spans="2:35" x14ac:dyDescent="0.3">
      <c r="B45" s="76" t="s">
        <v>305</v>
      </c>
      <c r="C45" s="77"/>
      <c r="D45" s="77"/>
      <c r="E45" s="8" t="s">
        <v>306</v>
      </c>
      <c r="F45" s="8">
        <v>887</v>
      </c>
      <c r="G45" s="9" t="s">
        <v>307</v>
      </c>
      <c r="I45" s="20" t="s">
        <v>313</v>
      </c>
      <c r="L45" t="s">
        <v>314</v>
      </c>
      <c r="M45">
        <v>1</v>
      </c>
      <c r="N45" s="5" t="s">
        <v>315</v>
      </c>
      <c r="P45" s="20" t="s">
        <v>155</v>
      </c>
      <c r="Q45" s="53">
        <v>5</v>
      </c>
      <c r="R45" t="s">
        <v>349</v>
      </c>
      <c r="S45">
        <f>(T6*10^-3*T39)/(U44*AA12*10^-4)</f>
        <v>0.12688686269826777</v>
      </c>
      <c r="T45" s="20" t="s">
        <v>155</v>
      </c>
      <c r="U45" s="53">
        <v>10</v>
      </c>
      <c r="W45" s="26" t="s">
        <v>81</v>
      </c>
      <c r="X45" s="24"/>
      <c r="Y45" s="24"/>
      <c r="Z45" s="24"/>
      <c r="AA45" s="24"/>
      <c r="AB45" s="25"/>
      <c r="AD45" s="20" t="s">
        <v>233</v>
      </c>
      <c r="AG45" t="s">
        <v>194</v>
      </c>
      <c r="AH45">
        <v>0.4</v>
      </c>
      <c r="AI45" s="5" t="s">
        <v>136</v>
      </c>
    </row>
    <row r="46" spans="2:35" x14ac:dyDescent="0.3">
      <c r="B46" t="s">
        <v>328</v>
      </c>
      <c r="E46" t="s">
        <v>330</v>
      </c>
      <c r="F46">
        <v>50</v>
      </c>
      <c r="G46" t="s">
        <v>308</v>
      </c>
      <c r="I46" s="20" t="s">
        <v>316</v>
      </c>
      <c r="L46" t="s">
        <v>317</v>
      </c>
      <c r="M46" t="s">
        <v>318</v>
      </c>
      <c r="N46" s="5" t="s">
        <v>18</v>
      </c>
      <c r="P46" s="20" t="s">
        <v>156</v>
      </c>
      <c r="Q46" s="53">
        <v>5</v>
      </c>
      <c r="R46" t="s">
        <v>251</v>
      </c>
      <c r="S46">
        <f>(T6*10^-3*T39)/(Q44*AA12*10^-4)</f>
        <v>0.24907421196326635</v>
      </c>
      <c r="T46" s="20" t="s">
        <v>156</v>
      </c>
      <c r="U46" s="53">
        <v>13</v>
      </c>
      <c r="W46" s="20" t="s">
        <v>270</v>
      </c>
      <c r="Z46" t="s">
        <v>269</v>
      </c>
      <c r="AA46">
        <v>0.5</v>
      </c>
      <c r="AB46" s="5" t="s">
        <v>18</v>
      </c>
      <c r="AD46" s="20" t="s">
        <v>134</v>
      </c>
      <c r="AG46" t="s">
        <v>135</v>
      </c>
      <c r="AH46">
        <f>$AA$15/1000</f>
        <v>4.2000000000000003E-2</v>
      </c>
      <c r="AI46" s="5" t="s">
        <v>221</v>
      </c>
    </row>
    <row r="47" spans="2:35" x14ac:dyDescent="0.3">
      <c r="B47" t="s">
        <v>329</v>
      </c>
      <c r="E47" t="s">
        <v>331</v>
      </c>
      <c r="F47">
        <v>2500</v>
      </c>
      <c r="G47" t="s">
        <v>307</v>
      </c>
      <c r="I47" s="21" t="s">
        <v>319</v>
      </c>
      <c r="J47" s="8"/>
      <c r="K47" s="8"/>
      <c r="L47" s="8" t="s">
        <v>320</v>
      </c>
      <c r="M47" s="8">
        <v>4</v>
      </c>
      <c r="N47" s="9" t="s">
        <v>321</v>
      </c>
      <c r="P47" s="20" t="s">
        <v>157</v>
      </c>
      <c r="Q47" s="53">
        <v>8</v>
      </c>
      <c r="T47" s="20" t="s">
        <v>157</v>
      </c>
      <c r="U47" s="53">
        <v>17</v>
      </c>
      <c r="W47" s="21" t="s">
        <v>298</v>
      </c>
      <c r="X47" s="8"/>
      <c r="Y47" s="8"/>
      <c r="Z47" s="8" t="s">
        <v>300</v>
      </c>
      <c r="AA47" s="8">
        <f>(F20*M8)/(F8*10^3*AA46)</f>
        <v>8.4E-7</v>
      </c>
      <c r="AB47" s="9" t="s">
        <v>273</v>
      </c>
      <c r="AD47" s="20" t="s">
        <v>219</v>
      </c>
      <c r="AG47" t="s">
        <v>220</v>
      </c>
      <c r="AH47">
        <f>AH46*U45</f>
        <v>0.42000000000000004</v>
      </c>
      <c r="AI47" s="5" t="s">
        <v>221</v>
      </c>
    </row>
    <row r="48" spans="2:35" x14ac:dyDescent="0.3">
      <c r="P48" s="20" t="s">
        <v>157</v>
      </c>
      <c r="Q48" s="53">
        <v>8</v>
      </c>
      <c r="T48" s="20" t="s">
        <v>157</v>
      </c>
      <c r="U48" s="53">
        <v>17</v>
      </c>
      <c r="AD48" s="20" t="s">
        <v>222</v>
      </c>
      <c r="AG48" t="s">
        <v>223</v>
      </c>
      <c r="AH48">
        <f>3.14*(AH45*10^-3)^2/4</f>
        <v>1.2560000000000001E-7</v>
      </c>
      <c r="AI48" s="5" t="s">
        <v>224</v>
      </c>
    </row>
    <row r="49" spans="2:35" x14ac:dyDescent="0.3">
      <c r="B49" s="67" t="s">
        <v>332</v>
      </c>
      <c r="C49" s="70"/>
      <c r="D49" s="70"/>
      <c r="E49" s="70"/>
      <c r="F49" s="70"/>
      <c r="G49" s="71"/>
      <c r="I49" s="67" t="s">
        <v>322</v>
      </c>
      <c r="J49" s="70"/>
      <c r="K49" s="70"/>
      <c r="L49" s="70"/>
      <c r="M49" s="70"/>
      <c r="N49" s="71"/>
      <c r="P49" s="47" t="s">
        <v>185</v>
      </c>
      <c r="Q49" s="22"/>
      <c r="R49" s="22"/>
      <c r="S49" s="22"/>
      <c r="T49" s="22"/>
      <c r="U49" s="23"/>
      <c r="AD49" s="20" t="s">
        <v>225</v>
      </c>
      <c r="AG49" t="s">
        <v>226</v>
      </c>
      <c r="AH49">
        <f>AH44*AH47/AH48</f>
        <v>7.6910828025477704E-2</v>
      </c>
      <c r="AI49" s="5" t="s">
        <v>73</v>
      </c>
    </row>
    <row r="50" spans="2:35" x14ac:dyDescent="0.3">
      <c r="B50" s="20" t="s">
        <v>333</v>
      </c>
      <c r="F50">
        <v>13.27</v>
      </c>
      <c r="G50" s="5" t="s">
        <v>308</v>
      </c>
      <c r="I50" s="20" t="s">
        <v>345</v>
      </c>
      <c r="M50">
        <v>1.3</v>
      </c>
      <c r="N50" s="5"/>
      <c r="P50" s="20" t="s">
        <v>103</v>
      </c>
      <c r="S50" t="s">
        <v>104</v>
      </c>
      <c r="T50" s="27">
        <f>$T$34</f>
        <v>600</v>
      </c>
      <c r="U50" s="5" t="s">
        <v>105</v>
      </c>
      <c r="AD50" s="20" t="s">
        <v>227</v>
      </c>
      <c r="AH50">
        <v>1.55</v>
      </c>
      <c r="AI50" s="5"/>
    </row>
    <row r="51" spans="2:35" x14ac:dyDescent="0.3">
      <c r="B51" s="20" t="s">
        <v>334</v>
      </c>
      <c r="E51" t="s">
        <v>335</v>
      </c>
      <c r="F51">
        <f>F47*SQRT((1-SIN(RADIANS(F50)))/(1+SIN(RADIANS(F50))))</f>
        <v>1978.9902607209369</v>
      </c>
      <c r="G51" s="5" t="s">
        <v>307</v>
      </c>
      <c r="I51" s="20" t="s">
        <v>346</v>
      </c>
      <c r="M51">
        <v>2.6</v>
      </c>
      <c r="N51" s="5"/>
      <c r="P51" s="20" t="s">
        <v>188</v>
      </c>
      <c r="S51" t="s">
        <v>186</v>
      </c>
      <c r="T51">
        <f>T7*SQRT($M$8)/($T$34/100)</f>
        <v>2.5559777542249053E-2</v>
      </c>
      <c r="U51" s="5" t="s">
        <v>187</v>
      </c>
      <c r="AD51" s="20" t="s">
        <v>229</v>
      </c>
      <c r="AG51" t="s">
        <v>230</v>
      </c>
      <c r="AH51">
        <f>AH49*AH50</f>
        <v>0.11921178343949045</v>
      </c>
      <c r="AI51" s="5" t="s">
        <v>73</v>
      </c>
    </row>
    <row r="52" spans="2:35" x14ac:dyDescent="0.3">
      <c r="B52" s="20" t="s">
        <v>336</v>
      </c>
      <c r="E52" t="s">
        <v>337</v>
      </c>
      <c r="F52">
        <f>F47*SQRT((1+SIN(RADIANS(F50)))/(1-SIN(RADIANS(F50))))</f>
        <v>3158.176229590515</v>
      </c>
      <c r="G52" s="5" t="s">
        <v>307</v>
      </c>
      <c r="I52" s="20" t="s">
        <v>323</v>
      </c>
      <c r="L52" t="s">
        <v>282</v>
      </c>
      <c r="M52">
        <v>1</v>
      </c>
      <c r="N52" s="5" t="s">
        <v>315</v>
      </c>
      <c r="P52" s="20" t="s">
        <v>189</v>
      </c>
      <c r="S52" t="s">
        <v>190</v>
      </c>
      <c r="T52">
        <f>SQRT((T51*4)/(3.14))</f>
        <v>0.18044452379739911</v>
      </c>
      <c r="U52" s="9" t="s">
        <v>136</v>
      </c>
      <c r="AD52" s="21" t="s">
        <v>231</v>
      </c>
      <c r="AE52" s="8"/>
      <c r="AF52" s="8"/>
      <c r="AG52" s="8" t="s">
        <v>232</v>
      </c>
      <c r="AH52" s="32">
        <f>T15^2*(AH49+AH51)</f>
        <v>0.13619625796178342</v>
      </c>
      <c r="AI52" s="9" t="s">
        <v>22</v>
      </c>
    </row>
    <row r="53" spans="2:35" x14ac:dyDescent="0.3">
      <c r="B53" s="20"/>
      <c r="E53" t="s">
        <v>348</v>
      </c>
      <c r="F53" s="72">
        <v>1032110</v>
      </c>
      <c r="G53" s="5"/>
      <c r="I53" s="20" t="s">
        <v>324</v>
      </c>
      <c r="L53" t="s">
        <v>183</v>
      </c>
      <c r="M53">
        <v>1.2</v>
      </c>
      <c r="N53" s="5" t="s">
        <v>325</v>
      </c>
      <c r="P53" s="26" t="s">
        <v>77</v>
      </c>
      <c r="Q53" s="24"/>
      <c r="R53" s="24"/>
      <c r="S53" s="24"/>
      <c r="T53" s="24"/>
      <c r="U53" s="25"/>
      <c r="AD53" s="36" t="s">
        <v>81</v>
      </c>
      <c r="AE53" s="18"/>
      <c r="AF53" s="18"/>
      <c r="AG53" s="18"/>
      <c r="AH53" s="18"/>
      <c r="AI53" s="18"/>
    </row>
    <row r="54" spans="2:35" x14ac:dyDescent="0.3">
      <c r="B54" s="20"/>
      <c r="E54" t="s">
        <v>24</v>
      </c>
      <c r="F54">
        <f>M53/(1.2*10^-3)</f>
        <v>1000</v>
      </c>
      <c r="G54" s="5" t="s">
        <v>25</v>
      </c>
      <c r="I54" s="21" t="s">
        <v>326</v>
      </c>
      <c r="J54" s="8"/>
      <c r="K54" s="8"/>
      <c r="L54" s="8" t="s">
        <v>327</v>
      </c>
      <c r="M54" s="8">
        <v>80</v>
      </c>
      <c r="N54" s="9" t="s">
        <v>325</v>
      </c>
      <c r="P54" s="20" t="s">
        <v>103</v>
      </c>
      <c r="S54" t="s">
        <v>104</v>
      </c>
      <c r="T54" s="27">
        <f>$T$34</f>
        <v>600</v>
      </c>
      <c r="U54" s="5" t="s">
        <v>105</v>
      </c>
      <c r="AD54" s="38" t="s">
        <v>215</v>
      </c>
      <c r="AE54" s="1"/>
      <c r="AF54" s="1"/>
      <c r="AG54" s="1" t="s">
        <v>216</v>
      </c>
      <c r="AH54" s="1">
        <f>2.3*10^-8</f>
        <v>2.2999999999999998E-8</v>
      </c>
      <c r="AI54" s="2" t="s">
        <v>217</v>
      </c>
    </row>
    <row r="55" spans="2:35" x14ac:dyDescent="0.3">
      <c r="B55" s="20"/>
      <c r="E55" t="s">
        <v>339</v>
      </c>
      <c r="F55">
        <v>43</v>
      </c>
      <c r="G55" s="5" t="s">
        <v>341</v>
      </c>
      <c r="P55" s="20" t="s">
        <v>191</v>
      </c>
      <c r="S55" t="s">
        <v>193</v>
      </c>
      <c r="T55">
        <f>T15*SQRT($M$8)/($T$34/100)</f>
        <v>9.0010287477886933E-2</v>
      </c>
      <c r="U55" s="5" t="s">
        <v>187</v>
      </c>
      <c r="AD55" s="20" t="s">
        <v>234</v>
      </c>
      <c r="AG55" t="s">
        <v>194</v>
      </c>
      <c r="AH55">
        <v>0.2</v>
      </c>
      <c r="AI55" s="5" t="s">
        <v>136</v>
      </c>
    </row>
    <row r="56" spans="2:35" x14ac:dyDescent="0.3">
      <c r="B56" s="20"/>
      <c r="E56" t="s">
        <v>340</v>
      </c>
      <c r="F56">
        <v>10</v>
      </c>
      <c r="G56" s="5" t="s">
        <v>341</v>
      </c>
      <c r="P56" s="20" t="s">
        <v>192</v>
      </c>
      <c r="S56" t="s">
        <v>194</v>
      </c>
      <c r="T56" s="30">
        <f>SQRT((T55*4)/(3.14))</f>
        <v>0.33861894010234322</v>
      </c>
      <c r="U56" s="5" t="s">
        <v>136</v>
      </c>
      <c r="AD56" s="20" t="s">
        <v>134</v>
      </c>
      <c r="AG56" t="s">
        <v>135</v>
      </c>
      <c r="AH56">
        <f>$AA$15/1000</f>
        <v>4.2000000000000003E-2</v>
      </c>
      <c r="AI56" s="5" t="s">
        <v>221</v>
      </c>
    </row>
    <row r="57" spans="2:35" x14ac:dyDescent="0.3">
      <c r="B57" s="20"/>
      <c r="E57" t="s">
        <v>343</v>
      </c>
      <c r="F57">
        <v>30</v>
      </c>
      <c r="G57" s="5" t="s">
        <v>341</v>
      </c>
      <c r="P57" s="26" t="s">
        <v>81</v>
      </c>
      <c r="Q57" s="24"/>
      <c r="R57" s="24"/>
      <c r="S57" s="24"/>
      <c r="T57" s="24"/>
      <c r="U57" s="25"/>
      <c r="AD57" s="20" t="s">
        <v>219</v>
      </c>
      <c r="AG57" t="s">
        <v>220</v>
      </c>
      <c r="AH57">
        <f>AH56*U46</f>
        <v>0.54600000000000004</v>
      </c>
      <c r="AI57" s="5" t="s">
        <v>221</v>
      </c>
    </row>
    <row r="58" spans="2:35" x14ac:dyDescent="0.3">
      <c r="B58" s="20"/>
      <c r="E58" t="s">
        <v>338</v>
      </c>
      <c r="F58">
        <f>1/(2*3.14*F52*F55*1000)</f>
        <v>1.1725612565373646E-9</v>
      </c>
      <c r="G58" s="5" t="s">
        <v>273</v>
      </c>
      <c r="P58" s="20" t="s">
        <v>103</v>
      </c>
      <c r="S58" t="s">
        <v>104</v>
      </c>
      <c r="T58" s="27">
        <f>$T$34</f>
        <v>600</v>
      </c>
      <c r="U58" s="5" t="s">
        <v>105</v>
      </c>
      <c r="AD58" s="20" t="s">
        <v>222</v>
      </c>
      <c r="AG58" t="s">
        <v>223</v>
      </c>
      <c r="AH58">
        <f>3.14*(AH55*10^-3)^2/4</f>
        <v>3.1400000000000003E-8</v>
      </c>
      <c r="AI58" s="5" t="s">
        <v>224</v>
      </c>
    </row>
    <row r="59" spans="2:35" x14ac:dyDescent="0.3">
      <c r="B59" s="20"/>
      <c r="E59" t="s">
        <v>342</v>
      </c>
      <c r="F59">
        <f>1/(2*3.14*F51*F57*1000)</f>
        <v>2.6821029550662552E-9</v>
      </c>
      <c r="G59" s="5" t="s">
        <v>273</v>
      </c>
      <c r="P59" s="20" t="s">
        <v>196</v>
      </c>
      <c r="S59" t="s">
        <v>200</v>
      </c>
      <c r="T59">
        <f>T20*SQRT($M$8)/($T$34/100)</f>
        <v>1.8002057495577387E-2</v>
      </c>
      <c r="U59" s="5" t="s">
        <v>187</v>
      </c>
      <c r="AD59" s="20" t="s">
        <v>225</v>
      </c>
      <c r="AG59" t="s">
        <v>226</v>
      </c>
      <c r="AH59">
        <f>AH54*AH57/AH58</f>
        <v>0.39993630573248401</v>
      </c>
      <c r="AI59" s="5" t="s">
        <v>73</v>
      </c>
    </row>
    <row r="60" spans="2:35" x14ac:dyDescent="0.3">
      <c r="B60" s="21"/>
      <c r="C60" s="8"/>
      <c r="D60" s="8"/>
      <c r="E60" s="8" t="s">
        <v>344</v>
      </c>
      <c r="F60" s="73">
        <f>(M50*F57*1000)/(F53*F55*1000*F58)</f>
        <v>749.43612807870193</v>
      </c>
      <c r="G60" s="9" t="s">
        <v>341</v>
      </c>
      <c r="P60" s="20" t="s">
        <v>197</v>
      </c>
      <c r="S60" t="s">
        <v>201</v>
      </c>
      <c r="T60" s="30">
        <f>SQRT((T59*4)/(3.14))</f>
        <v>0.15143499370755381</v>
      </c>
      <c r="U60" s="5" t="s">
        <v>136</v>
      </c>
      <c r="AD60" s="20" t="s">
        <v>227</v>
      </c>
      <c r="AH60">
        <v>1.55</v>
      </c>
      <c r="AI60" s="5"/>
    </row>
    <row r="61" spans="2:35" x14ac:dyDescent="0.3">
      <c r="B61" s="56" t="s">
        <v>347</v>
      </c>
      <c r="C61" s="10"/>
      <c r="D61" s="10"/>
      <c r="E61" s="10"/>
      <c r="F61" s="10"/>
      <c r="G61" s="11"/>
      <c r="P61" s="26" t="s">
        <v>195</v>
      </c>
      <c r="Q61" s="24"/>
      <c r="R61" s="24"/>
      <c r="S61" s="24"/>
      <c r="T61" s="24"/>
      <c r="U61" s="25"/>
      <c r="AD61" s="20" t="s">
        <v>229</v>
      </c>
      <c r="AG61" t="s">
        <v>230</v>
      </c>
      <c r="AH61">
        <f>AH59*AH60</f>
        <v>0.61990127388535021</v>
      </c>
      <c r="AI61" s="5" t="s">
        <v>73</v>
      </c>
    </row>
    <row r="62" spans="2:35" x14ac:dyDescent="0.3">
      <c r="P62" s="20" t="s">
        <v>103</v>
      </c>
      <c r="S62" t="s">
        <v>104</v>
      </c>
      <c r="T62" s="27">
        <f>$T$34</f>
        <v>600</v>
      </c>
      <c r="U62" s="5" t="s">
        <v>105</v>
      </c>
      <c r="AD62" s="21" t="s">
        <v>231</v>
      </c>
      <c r="AE62" s="8"/>
      <c r="AF62" s="8"/>
      <c r="AG62" s="8" t="s">
        <v>232</v>
      </c>
      <c r="AH62" s="32">
        <f>T20^2*(AH59+AH61)</f>
        <v>2.832882165605095E-2</v>
      </c>
      <c r="AI62" s="9" t="s">
        <v>22</v>
      </c>
    </row>
    <row r="63" spans="2:35" x14ac:dyDescent="0.3">
      <c r="P63" s="20" t="s">
        <v>198</v>
      </c>
      <c r="S63" t="s">
        <v>202</v>
      </c>
      <c r="T63">
        <f>T25*SQRT($M$8)/($T$34/100)</f>
        <v>4.5005143738943466E-3</v>
      </c>
      <c r="U63" s="5" t="s">
        <v>187</v>
      </c>
      <c r="AD63" s="36" t="s">
        <v>82</v>
      </c>
      <c r="AE63" s="18"/>
      <c r="AF63" s="18"/>
      <c r="AG63" s="18"/>
      <c r="AH63" s="18"/>
      <c r="AI63" s="18"/>
    </row>
    <row r="64" spans="2:35" x14ac:dyDescent="0.3">
      <c r="P64" s="20" t="s">
        <v>199</v>
      </c>
      <c r="S64" t="s">
        <v>203</v>
      </c>
      <c r="T64" s="30">
        <f>SQRT((T63*4)/(3.14))</f>
        <v>7.5717496853776906E-2</v>
      </c>
      <c r="U64" s="5" t="s">
        <v>136</v>
      </c>
      <c r="AD64" s="38" t="s">
        <v>215</v>
      </c>
      <c r="AE64" s="1"/>
      <c r="AF64" s="1"/>
      <c r="AG64" s="1" t="s">
        <v>216</v>
      </c>
      <c r="AH64" s="1">
        <f>2.3*10^-8</f>
        <v>2.2999999999999998E-8</v>
      </c>
      <c r="AI64" s="2" t="s">
        <v>217</v>
      </c>
    </row>
    <row r="65" spans="16:35" x14ac:dyDescent="0.3">
      <c r="P65" s="26" t="s">
        <v>83</v>
      </c>
      <c r="Q65" s="24"/>
      <c r="R65" s="24"/>
      <c r="S65" s="24"/>
      <c r="T65" s="24"/>
      <c r="U65" s="25"/>
      <c r="AD65" s="20" t="s">
        <v>235</v>
      </c>
      <c r="AG65" t="s">
        <v>194</v>
      </c>
      <c r="AH65">
        <v>0.1</v>
      </c>
      <c r="AI65" s="5" t="s">
        <v>136</v>
      </c>
    </row>
    <row r="66" spans="16:35" x14ac:dyDescent="0.3">
      <c r="P66" s="20" t="s">
        <v>103</v>
      </c>
      <c r="S66" t="s">
        <v>104</v>
      </c>
      <c r="T66" s="27">
        <f>$T$34</f>
        <v>600</v>
      </c>
      <c r="U66" s="5" t="s">
        <v>105</v>
      </c>
      <c r="AD66" s="20" t="s">
        <v>134</v>
      </c>
      <c r="AG66" t="s">
        <v>135</v>
      </c>
      <c r="AH66">
        <f>$AA$15/1000</f>
        <v>4.2000000000000003E-2</v>
      </c>
      <c r="AI66" s="5" t="s">
        <v>221</v>
      </c>
    </row>
    <row r="67" spans="16:35" x14ac:dyDescent="0.3">
      <c r="P67" s="20" t="s">
        <v>198</v>
      </c>
      <c r="S67" t="s">
        <v>204</v>
      </c>
      <c r="T67">
        <f>T30*SQRT($M$8)/($T$34/100)</f>
        <v>4.5005143738943466E-3</v>
      </c>
      <c r="U67" s="5" t="s">
        <v>187</v>
      </c>
      <c r="AD67" s="20" t="s">
        <v>219</v>
      </c>
      <c r="AG67" t="s">
        <v>220</v>
      </c>
      <c r="AH67">
        <f>AH66*U47</f>
        <v>0.71400000000000008</v>
      </c>
      <c r="AI67" s="5" t="s">
        <v>221</v>
      </c>
    </row>
    <row r="68" spans="16:35" x14ac:dyDescent="0.3">
      <c r="P68" s="21" t="s">
        <v>199</v>
      </c>
      <c r="Q68" s="8"/>
      <c r="R68" s="8"/>
      <c r="S68" s="8" t="s">
        <v>205</v>
      </c>
      <c r="T68" s="32">
        <f>SQRT((T67*4)/(3.14))</f>
        <v>7.5717496853776906E-2</v>
      </c>
      <c r="U68" s="9" t="s">
        <v>136</v>
      </c>
      <c r="AD68" s="20" t="s">
        <v>222</v>
      </c>
      <c r="AG68" t="s">
        <v>223</v>
      </c>
      <c r="AH68">
        <f>3.14*(AH65*10^-3)^2/4</f>
        <v>7.8500000000000008E-9</v>
      </c>
      <c r="AI68" s="5" t="s">
        <v>224</v>
      </c>
    </row>
    <row r="69" spans="16:35" x14ac:dyDescent="0.3">
      <c r="P69" s="56" t="s">
        <v>228</v>
      </c>
      <c r="Q69" s="10"/>
      <c r="R69" s="10"/>
      <c r="S69" s="10"/>
      <c r="T69" s="10">
        <f>66.2/SQRT(F8*10^3)</f>
        <v>0.20934278110314669</v>
      </c>
      <c r="U69" s="11" t="s">
        <v>136</v>
      </c>
      <c r="AD69" s="20" t="s">
        <v>225</v>
      </c>
      <c r="AG69" t="s">
        <v>226</v>
      </c>
      <c r="AH69">
        <f>AH64*AH67/AH68</f>
        <v>2.0919745222929933</v>
      </c>
      <c r="AI69" s="5" t="s">
        <v>73</v>
      </c>
    </row>
    <row r="70" spans="16:35" x14ac:dyDescent="0.3">
      <c r="AD70" s="20" t="s">
        <v>227</v>
      </c>
      <c r="AH70">
        <v>1.55</v>
      </c>
      <c r="AI70" s="5"/>
    </row>
    <row r="71" spans="16:35" x14ac:dyDescent="0.3">
      <c r="AD71" s="20" t="s">
        <v>229</v>
      </c>
      <c r="AG71" t="s">
        <v>230</v>
      </c>
      <c r="AH71">
        <f>AH69*AH70</f>
        <v>3.2425605095541399</v>
      </c>
      <c r="AI71" s="5" t="s">
        <v>73</v>
      </c>
    </row>
    <row r="72" spans="16:35" x14ac:dyDescent="0.3">
      <c r="AD72" s="21" t="s">
        <v>231</v>
      </c>
      <c r="AE72" s="8"/>
      <c r="AF72" s="8"/>
      <c r="AG72" s="8" t="s">
        <v>232</v>
      </c>
      <c r="AH72" s="32">
        <f>T25^2*(AH69+AH71)</f>
        <v>9.2613455414012735E-3</v>
      </c>
      <c r="AI72" s="9" t="s">
        <v>22</v>
      </c>
    </row>
    <row r="73" spans="16:35" x14ac:dyDescent="0.3">
      <c r="AD73" s="36" t="s">
        <v>83</v>
      </c>
      <c r="AE73" s="18"/>
      <c r="AF73" s="18"/>
      <c r="AG73" s="18"/>
      <c r="AH73" s="18"/>
      <c r="AI73" s="18"/>
    </row>
    <row r="74" spans="16:35" x14ac:dyDescent="0.3">
      <c r="AD74" s="38" t="s">
        <v>215</v>
      </c>
      <c r="AE74" s="1"/>
      <c r="AF74" s="1"/>
      <c r="AG74" s="1" t="s">
        <v>216</v>
      </c>
      <c r="AH74" s="1">
        <f>2.3*10^-8</f>
        <v>2.2999999999999998E-8</v>
      </c>
      <c r="AI74" s="2" t="s">
        <v>217</v>
      </c>
    </row>
    <row r="75" spans="16:35" x14ac:dyDescent="0.3">
      <c r="AD75" s="20" t="s">
        <v>236</v>
      </c>
      <c r="AG75" t="s">
        <v>194</v>
      </c>
      <c r="AH75">
        <v>0.1</v>
      </c>
      <c r="AI75" s="5" t="s">
        <v>136</v>
      </c>
    </row>
    <row r="76" spans="16:35" x14ac:dyDescent="0.3">
      <c r="AD76" s="20" t="s">
        <v>134</v>
      </c>
      <c r="AG76" t="s">
        <v>135</v>
      </c>
      <c r="AH76">
        <f>$AA$15/1000</f>
        <v>4.2000000000000003E-2</v>
      </c>
      <c r="AI76" s="5" t="s">
        <v>221</v>
      </c>
    </row>
    <row r="77" spans="16:35" x14ac:dyDescent="0.3">
      <c r="AD77" s="20" t="s">
        <v>219</v>
      </c>
      <c r="AG77" t="s">
        <v>220</v>
      </c>
      <c r="AH77">
        <f>AH76*U48</f>
        <v>0.71400000000000008</v>
      </c>
      <c r="AI77" s="5" t="s">
        <v>221</v>
      </c>
    </row>
    <row r="78" spans="16:35" x14ac:dyDescent="0.3">
      <c r="AD78" s="20" t="s">
        <v>222</v>
      </c>
      <c r="AG78" t="s">
        <v>223</v>
      </c>
      <c r="AH78">
        <f>3.14*(AH75*10^-3)^2/4</f>
        <v>7.8500000000000008E-9</v>
      </c>
      <c r="AI78" s="5" t="s">
        <v>224</v>
      </c>
    </row>
    <row r="79" spans="16:35" x14ac:dyDescent="0.3">
      <c r="AD79" s="20" t="s">
        <v>225</v>
      </c>
      <c r="AG79" t="s">
        <v>226</v>
      </c>
      <c r="AH79">
        <f>AH74*AH77/AH78</f>
        <v>2.0919745222929933</v>
      </c>
      <c r="AI79" s="5" t="s">
        <v>73</v>
      </c>
    </row>
    <row r="80" spans="16:35" x14ac:dyDescent="0.3">
      <c r="AD80" s="20" t="s">
        <v>227</v>
      </c>
      <c r="AH80">
        <v>1.55</v>
      </c>
      <c r="AI80" s="5"/>
    </row>
    <row r="81" spans="30:37" x14ac:dyDescent="0.3">
      <c r="AD81" s="20" t="s">
        <v>229</v>
      </c>
      <c r="AG81" t="s">
        <v>230</v>
      </c>
      <c r="AH81">
        <f>AH79*AH80</f>
        <v>3.2425605095541399</v>
      </c>
      <c r="AI81" s="5" t="s">
        <v>73</v>
      </c>
    </row>
    <row r="82" spans="30:37" x14ac:dyDescent="0.3">
      <c r="AD82" s="21" t="s">
        <v>231</v>
      </c>
      <c r="AE82" s="8"/>
      <c r="AF82" s="8"/>
      <c r="AG82" s="8" t="s">
        <v>232</v>
      </c>
      <c r="AH82" s="32">
        <f>T30^2*(AH79+AH81)</f>
        <v>9.2613455414012735E-3</v>
      </c>
      <c r="AI82" s="9" t="s">
        <v>22</v>
      </c>
    </row>
    <row r="83" spans="30:37" x14ac:dyDescent="0.3">
      <c r="AD83" s="26" t="s">
        <v>237</v>
      </c>
      <c r="AE83" s="16"/>
      <c r="AF83" s="16"/>
      <c r="AG83" s="16" t="s">
        <v>238</v>
      </c>
      <c r="AH83" s="58">
        <f>AH41+AH52+AH62+AH72+AH82</f>
        <v>0.36579310261266745</v>
      </c>
      <c r="AI83" s="17" t="s">
        <v>22</v>
      </c>
    </row>
    <row r="85" spans="30:37" x14ac:dyDescent="0.3">
      <c r="AD85" s="51" t="s">
        <v>240</v>
      </c>
      <c r="AE85" s="52"/>
      <c r="AF85" s="52"/>
      <c r="AG85" s="52"/>
      <c r="AH85" s="52"/>
      <c r="AI85" s="52"/>
    </row>
    <row r="86" spans="30:37" x14ac:dyDescent="0.3">
      <c r="AD86" s="38" t="s">
        <v>241</v>
      </c>
      <c r="AE86" s="1"/>
      <c r="AF86" s="1"/>
      <c r="AG86" s="1" t="s">
        <v>241</v>
      </c>
      <c r="AH86" s="1">
        <v>4.8550000000000001E-5</v>
      </c>
      <c r="AI86" s="2"/>
    </row>
    <row r="87" spans="30:37" x14ac:dyDescent="0.3">
      <c r="AD87" s="20" t="s">
        <v>242</v>
      </c>
      <c r="AG87" t="s">
        <v>246</v>
      </c>
      <c r="AH87">
        <v>1.62</v>
      </c>
      <c r="AI87" s="5"/>
    </row>
    <row r="88" spans="30:37" x14ac:dyDescent="0.3">
      <c r="AD88" s="20" t="s">
        <v>243</v>
      </c>
      <c r="AG88" t="s">
        <v>247</v>
      </c>
      <c r="AH88">
        <v>2.63</v>
      </c>
      <c r="AI88" s="5"/>
    </row>
    <row r="89" spans="30:37" x14ac:dyDescent="0.3">
      <c r="AD89" s="21" t="s">
        <v>244</v>
      </c>
      <c r="AE89" s="8"/>
      <c r="AF89" s="8"/>
      <c r="AG89" s="8" t="s">
        <v>245</v>
      </c>
      <c r="AH89" s="32">
        <f>AH86*((F8*10^3)^AH87)*(S45^AH88)*AA17/1000</f>
        <v>0.34843229465280257</v>
      </c>
      <c r="AI89" s="9" t="s">
        <v>22</v>
      </c>
    </row>
    <row r="91" spans="30:37" x14ac:dyDescent="0.3">
      <c r="AD91" s="47" t="s">
        <v>253</v>
      </c>
      <c r="AE91" s="59"/>
      <c r="AF91" s="59"/>
      <c r="AG91" s="59"/>
      <c r="AH91" s="61"/>
      <c r="AI91" s="60"/>
      <c r="AJ91" t="s">
        <v>76</v>
      </c>
      <c r="AK91">
        <f>AH92+AH93+AH94+AH95</f>
        <v>2.2005762600063994</v>
      </c>
    </row>
    <row r="92" spans="30:37" x14ac:dyDescent="0.3">
      <c r="AD92" s="20" t="s">
        <v>254</v>
      </c>
      <c r="AG92" t="s">
        <v>257</v>
      </c>
      <c r="AH92">
        <f>AH10</f>
        <v>0.31067584325396824</v>
      </c>
      <c r="AI92" s="5" t="s">
        <v>22</v>
      </c>
    </row>
    <row r="93" spans="30:37" x14ac:dyDescent="0.3">
      <c r="AD93" s="20" t="s">
        <v>255</v>
      </c>
      <c r="AG93" t="s">
        <v>209</v>
      </c>
      <c r="AH93">
        <f>AH29</f>
        <v>0.39877083333333335</v>
      </c>
      <c r="AI93" s="5" t="s">
        <v>22</v>
      </c>
    </row>
    <row r="94" spans="30:37" x14ac:dyDescent="0.3">
      <c r="AD94" s="20" t="s">
        <v>256</v>
      </c>
      <c r="AG94" t="s">
        <v>252</v>
      </c>
      <c r="AH94">
        <f>AH83+AH89</f>
        <v>0.71422539726546996</v>
      </c>
      <c r="AI94" s="5" t="s">
        <v>22</v>
      </c>
    </row>
    <row r="95" spans="30:37" x14ac:dyDescent="0.3">
      <c r="AD95" s="21" t="s">
        <v>291</v>
      </c>
      <c r="AE95" s="8"/>
      <c r="AF95" s="8"/>
      <c r="AG95" s="8" t="s">
        <v>292</v>
      </c>
      <c r="AH95" s="8">
        <f>AA39</f>
        <v>0.77690418615362811</v>
      </c>
      <c r="AI95" s="9" t="s">
        <v>22</v>
      </c>
    </row>
    <row r="96" spans="30:37" x14ac:dyDescent="0.3">
      <c r="AD96" s="56" t="s">
        <v>293</v>
      </c>
      <c r="AE96" s="10"/>
      <c r="AF96" s="10"/>
      <c r="AG96" s="10"/>
      <c r="AH96" s="10">
        <f>F37/(F37+AH92+AH93+AH94+AH95)*100</f>
        <v>79.434974280487182</v>
      </c>
      <c r="AI96" s="11" t="s">
        <v>37</v>
      </c>
    </row>
  </sheetData>
  <mergeCells count="30">
    <mergeCell ref="AD19:AF19"/>
    <mergeCell ref="AD22:AF22"/>
    <mergeCell ref="AD23:AF23"/>
    <mergeCell ref="AD26:AF26"/>
    <mergeCell ref="AD27:AF27"/>
    <mergeCell ref="D2:S2"/>
    <mergeCell ref="B10:D10"/>
    <mergeCell ref="L5:M5"/>
    <mergeCell ref="I9:K9"/>
    <mergeCell ref="I12:K12"/>
    <mergeCell ref="I10:K10"/>
    <mergeCell ref="I11:K11"/>
    <mergeCell ref="I8:K8"/>
    <mergeCell ref="I6:K6"/>
    <mergeCell ref="B44:D44"/>
    <mergeCell ref="B45:D45"/>
    <mergeCell ref="AD9:AF9"/>
    <mergeCell ref="B4:C4"/>
    <mergeCell ref="B5:D5"/>
    <mergeCell ref="B6:D6"/>
    <mergeCell ref="B7:D7"/>
    <mergeCell ref="B8:D8"/>
    <mergeCell ref="P6:R6"/>
    <mergeCell ref="AD14:AF14"/>
    <mergeCell ref="AD15:AF15"/>
    <mergeCell ref="AD18:AF18"/>
    <mergeCell ref="AD5:AF5"/>
    <mergeCell ref="AD6:AF6"/>
    <mergeCell ref="AD7:AF7"/>
    <mergeCell ref="AD8:A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20232170</dc:creator>
  <cp:lastModifiedBy>Nguyen Thanh Luan 20232170</cp:lastModifiedBy>
  <dcterms:created xsi:type="dcterms:W3CDTF">2026-03-10T15:04:08Z</dcterms:created>
  <dcterms:modified xsi:type="dcterms:W3CDTF">2026-08-19T14:31:57Z</dcterms:modified>
</cp:coreProperties>
</file>